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r primero" sheetId="1" state="visible" r:id="rId3"/>
    <sheet name="Temas" sheetId="2" state="visible" r:id="rId4"/>
    <sheet name="Facetas" sheetId="3" state="visible" r:id="rId5"/>
    <sheet name="Distinciones" sheetId="4" state="visible" r:id="rId6"/>
    <sheet name="Sugerencias" sheetId="5" state="visible" r:id="rId7"/>
    <sheet name="Revisa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<sst xmlns="http://schemas.openxmlformats.org/spreadsheetml/2006/main" count="655" uniqueCount="382">
  <si>
    <t xml:space="preserve">Taxonomía del mensaje de Br. David — versión normalizada</t>
  </si>
  <si>
    <t xml:space="preserve">Reestructuración del archivo original de Amalia. No se eliminó ni se reescribió ningún texto.</t>
  </si>
  <si>
    <t xml:space="preserve">Qué cambió respecto del original</t>
  </si>
  <si>
    <t xml:space="preserve">•   Una fila por faceta, sin celdas combinadas. Tema y subtema se repiten en cada fila para que el archivo se pueda leer con un script.</t>
  </si>
  <si>
    <t xml:space="preserve">•   La etiqueta de faceta ("Como entrada al silencio") pasó a columna propia. Antes estaba dentro del texto.</t>
  </si>
  <si>
    <t xml:space="preserve">•   La obra citada al final de cada texto pasó a columna propia, donde se pudo detectar automáticamente.</t>
  </si>
  <si>
    <t xml:space="preserve">•   Se agregaron columnas vacías: procedencia, se distingue de, conceptos relacionados.</t>
  </si>
  <si>
    <t xml:space="preserve">•   Los 34 subtemas sin definición quedaron como filas marcadas PENDIENTE, listas para completar.</t>
  </si>
  <si>
    <t xml:space="preserve">Las hojas</t>
  </si>
  <si>
    <t xml:space="preserve">•   Temas — los 6 temas principales con su definición y estado de avance.</t>
  </si>
  <si>
    <t xml:space="preserve">•   Facetas — la hoja de trabajo principal. 83 filas.</t>
  </si>
  <si>
    <t xml:space="preserve">•   Distinciones — los pares "X se distingue de Y". 15 ya estaban escritos dentro de los textos; 8 faltan.</t>
  </si>
  <si>
    <t xml:space="preserve">•   Sugerencias — conceptos que podrían faltar. Son propuestas externas, no material de la Fundación.</t>
  </si>
  <si>
    <t xml:space="preserve">•   Revisar — cuatro puntos que necesitan una decisión del panel.</t>
  </si>
  <si>
    <t xml:space="preserve">Cómo completar</t>
  </si>
  <si>
    <t xml:space="preserve">•   Las celdas con fondo amarillo son para llenar. Las demás vienen del archivo original.</t>
  </si>
  <si>
    <t xml:space="preserve">•   Procedencia: quién dice esto. Es el campo que evita atribuirle a Br. David algo que no dijo.</t>
  </si>
  <si>
    <t xml:space="preserve">•   Se distingue de: el concepto con el que se confunde. Solo cuando la distinción es real y él la marcó.</t>
  </si>
  <si>
    <t xml:space="preserve">•   Conceptos relacionados: separados por punto y coma. Un concepto puede relacionarse con varios.</t>
  </si>
  <si>
    <t xml:space="preserve">•   Estado: cambiar a "Revisado" cuando el panel valide la fila.</t>
  </si>
  <si>
    <t xml:space="preserve">Un cambio de fondo: de árbol a grafo</t>
  </si>
  <si>
    <t xml:space="preserve">El archivo original obligaba a cada subtema a colgar de un solo tema. Eso ya estaba crujiendo: "Integridad frente a la corrupción" aparecía dos veces, y "Espiritualidad" era a la vez subtema del tema 1 y tema principal 5. La columna "conceptos relacionados" resuelve eso sin reorganizar nada: un concepto sigue teniendo un lugar, pero puede conectarse con todos los que haga falta.</t>
  </si>
  <si>
    <t xml:space="preserve">Lo más valioso que ya tiene este material</t>
  </si>
  <si>
    <t xml:space="preserve">La estructura de facetas. "Detenerse" no tiene una definición sino cinco, cada una entrando por un lado distinto. Eso es exactamente lo que un buscador necesita, porque cada faceta corresponde a una forma distinta de preguntar por lo mismo. Conviene sostener ese criterio al completar los temas 3 a 6.</t>
  </si>
  <si>
    <t xml:space="preserve">#</t>
  </si>
  <si>
    <t xml:space="preserve">Tema principal</t>
  </si>
  <si>
    <t xml:space="preserve">Definición (del archivo original)</t>
  </si>
  <si>
    <t xml:space="preserve">Filas</t>
  </si>
  <si>
    <t xml:space="preserve">Pendientes</t>
  </si>
  <si>
    <t xml:space="preserve">Estado</t>
  </si>
  <si>
    <t xml:space="preserve">Gratitud como práctica espiritual y camino hacia una vida plena/hacia la felicidad</t>
  </si>
  <si>
    <t xml:space="preserve">La gratitud es lo que nos hace felices, no al revés: La felicidad ordinaria depende de la buena suerte o de sucesos fortuitos, mientras que el gozo es una felicidad duradera que no depende de las circunstancias externas, sino que brota directamente de un corazón agradecido. La vida es un regalo gratuito: La gratitud surge de manera espontánea en nuestro interior cuando tomamos conciencia de que hemos recibido algo de gran valor que no hemos comprado, ganado ni merecido. Al despertar de la rutina, descubrimos que el regalo más inestimable de todos es la propia existencia y cada momento presente.  Es imposible estar agradecidos por el sufrimiento, la violencia, la opresión o la pérdida de un ser querido. Sin embargo, sí podemos estar agradecidos en cada momento por la oportunidad que contiene, ya sea la oportunidad de disfrutar, de aprender de una situación difícil, de cultivar la paciencia, de perdonar, o de levantarnos a protestar de forma pacífica y decidida. El método del "Detente, Mira y Responder" (Stop, Look, Go) es la clave para vivir la gratitud momento a momento.</t>
  </si>
  <si>
    <t xml:space="preserve">Completo</t>
  </si>
  <si>
    <t xml:space="preserve">Confianza plena en la vida</t>
  </si>
  <si>
    <t xml:space="preserve">Tener fe no consiste en adherirse rígidamente a dogmas, doctrinas o creencias intelectuales particulares que a menudo nos dividen. En su nivel más profundo, la fe es una valiente y radical confianza en la vida y en su Fuente. El polo opuesto de la confianza no es el descreimiento, sino el temor. El miedo nos hace reaccionar con hostilidad, avidez e indiferencia, y nos empuja a encogernos en el aislamiento defensivo del ego. Confiar en la vida nos da la valentía para soltar amarras, abandonar falsas seguridades y abrirnos a lo inesperado. Confiar en la vida implica creer que su flujo incesante siempre nos traerá lo que verdaderamente necesitamos para crecer, aunque no siempre coincida con lo que queremos o planeamos.</t>
  </si>
  <si>
    <t xml:space="preserve">El Amor como "Sí" a la Pertenencia</t>
  </si>
  <si>
    <t xml:space="preserve">El denominador común de todo amor. El amor no debe ser entendido únicamente como preferencia o atracción apasionada (lo cual es propio del enamoramiento). El amor es un "sí" ilimitado, incondicional y benévolo a la mutua pertenencia, expresado no mediante meras emociones románticas, sino a través de actos deliberados y concretos. Significa tomar conciencia de que nuestro verdadero ser (el Sí Mismo) es indivisible, común a todos y trasciende el pequeño aislamiento de nuestro ego individual
El opuesto directo del amor no es el odio, sino la indiferencia. El odio, aunque sea de manera destructiva, sigue prestando atención y reconociendo que existe un vínculo de pertenencia con el otro. La indiferencia, en cambio, se traduce en apatía y frialdad.</t>
  </si>
  <si>
    <t xml:space="preserve">A completar</t>
  </si>
  <si>
    <t xml:space="preserve">El Misterio y el Conocimiento del Corazón</t>
  </si>
  <si>
    <t xml:space="preserve">El Misterio es la actualidad insondable que actúa sobre nosotros; no se puede captar o explicar lógicamente con el intelecto, pero se puede "entender" íntimamente cuando nos dejamos conmover y aprehender por él. El Misterio es aquello que no puede ser puesto en palabras o catalogado por la lógica conceptual. Nuestro intelecto no puede comprender el Misterio, porque comprender implica "atrapar, apoderarse y controlar" la realidad. Sin embargo, sí podemos entenderlo con el corazón cuando permitimos que la realidad nos capture, nos conmueva y nos posea, del mismo modo en que entendemos profundamente una melodía musical sin poder explicarla.</t>
  </si>
  <si>
    <t xml:space="preserve">Religiosidad y espiritualidad</t>
  </si>
  <si>
    <t xml:space="preserve">Religiosidad o espiritualidad es la capacidad humana universal y el anhelo innato de lo sagrado que experimentamos a través de una profunda vivencia de pertenencia ilimitada y comunión con el Todo. Es común a todas las culturas y nace del contacto místico con el Misterio. Las religiones surgen como "idiomas" necesarios para que esa religiosidad común se encarne en la historia. Nacen inevitablemente cuando el intelecto interpreta la experiencia cumbre (creando la doctrina), la voluntad acepta el compromiso ético de pertenencia (creando la moral) y los sentimientos la celebran en comunidad (creando los rituales)</t>
  </si>
  <si>
    <t xml:space="preserve">El Ocio como virtud y la contemplación en acción</t>
  </si>
  <si>
    <t xml:space="preserve">El ocio no es holgazanería ni el privilegio de las clases que tienen tiempo libre; es una actitud interior de apertura, paciencia, confianza y el justo equilibrio entre dar y recibir. Nos recuerda que antes que nada somos llamados a "ser" y no a "hacer. El sentido se asocia al juego, a entregarse a la actividad por el puro gozo de celebrar el presente; el sentido es aquello en lo que el corazón encuentra descanso
Contemplación en Acción es la plegaria propia del amor. En medio de nuestras actividades cotidianas (sea trabajar, estudiar, cocinar o pasear), no necesitamos apartarnos de la realidad; si realizamos nuestra tarea con atención amorosa y compasión plena, hacemos presente a Dios a través del propio acto.</t>
  </si>
  <si>
    <t xml:space="preserve">Los temas 1 y 2 tienen 49 facetas desarrolladas. Los temas 3 a 6 tienen 34 subtemas sin definir. Completarlos con la misma profundidad es aproximadamente el doble del trabajo ya hecho.</t>
  </si>
  <si>
    <t xml:space="preserve">ID</t>
  </si>
  <si>
    <t xml:space="preserve">Tema</t>
  </si>
  <si>
    <t xml:space="preserve">Subtema</t>
  </si>
  <si>
    <t xml:space="preserve">Faceta</t>
  </si>
  <si>
    <t xml:space="preserve">Texto y cita</t>
  </si>
  <si>
    <t xml:space="preserve">Obra</t>
  </si>
  <si>
    <t xml:space="preserve">Procedencia</t>
  </si>
  <si>
    <t xml:space="preserve">Se distingue de</t>
  </si>
  <si>
    <t xml:space="preserve">Conceptos relacionados</t>
  </si>
  <si>
    <t xml:space="preserve">Notas del panel</t>
  </si>
  <si>
    <t xml:space="preserve">F001</t>
  </si>
  <si>
    <t xml:space="preserve">Espiritualidad</t>
  </si>
  <si>
    <t xml:space="preserve">"La espiritualidad no hace referencia a una realidad separada, sino que caracteriza cada aspecto de la vida humana. Relacionado con la palabra latina spiritus, que significa 'aliento de vida', la espiritualidad es nuestro estar vivos, nuestra verdadera vitalidad. Pero la vitalidad tiene grados; todos sabemos esto por experiencia, cuando comparamos nuestra vitalidad de la mañana con la de la noche. La espiritualidad, igualmente, tiene grados, dependiendo de su intensidad y de cuantas áreas de la Vida estén verdaderamente despiertas. Nuestra meta sería alcanzar la vitalidad plena en todas las áreas del cuerpo y la mente, desde nuestros hábitos de vida saludables hasta las formas respetuosas de tratar a los demás, cuidar nuestro medio ambiente y relacionarnos con el Misterio. Para todo esto necesitamos habilidades. Nuestras habilidades espirituales (intelectuales, emocionales, actitudinales, etc.) pueden entrenarse y mejorarse a través de prácticas que nos vuelven personas más despiertas, atentas, vivas. El entrenamiento espiritual apunta a la vitalidad máxima. Por eso la interacción con el Misterio, tarea central de nuestras vidas, está en el centro de la espiritualidad.
Cuanto más despertemos y vivamos plenamente, más nos daremos cuenta de la presencia del Misterio en cada cosa que experimentamos. En este sentido, la espiritualidad es sinónimo de religiosidad."</t>
  </si>
  <si>
    <t xml:space="preserve">Orientación</t>
  </si>
  <si>
    <t xml:space="preserve">Migrado</t>
  </si>
  <si>
    <t xml:space="preserve">F002</t>
  </si>
  <si>
    <t xml:space="preserve">"I understand by spirituality full aliveness spirit comes from the word spirituals latin word for life and life breath so spirituality is our full aliveness on all levels" Traducción: "Entiendo por espiritualidad la plenitud de estar vivos [full aliveness]. Espíritu proviene de la palabra 'spiritualis', el vocablo latino para vida y aliento de vida, de manera que la espiritualidad es nuestra plenitud de estar vivos en todos los niveles"</t>
  </si>
  <si>
    <t xml:space="preserve">F003</t>
  </si>
  <si>
    <t xml:space="preserve">"Al decir "tarea espiritual debemos hacer una aclaración, ya que podemos referirnos a un sinnúmero de cosas
cuando hablamos de lo “espiritual”. Debido a que proviene del vocabulario bíblico, ya que se remonta a spiritus (en latín), pneuma (en griego) y ruah (en hebreo), debemos preguntarnos qué significa "espíritu en el contexto occidental. En nuestro contexto, espíritu significa "vida". Lo espiritual es lo vital; es lo “supervital", si se quiere."</t>
  </si>
  <si>
    <t xml:space="preserve">Confiar</t>
  </si>
  <si>
    <t xml:space="preserve">F004</t>
  </si>
  <si>
    <t xml:space="preserve">"Hay una distinción muy importante con la que debemos comenzar, y es la distinción entre “religión” y “religiones”. “Religiones” no es simplemente el plural de "religión”. La religión hace referencia a la religiosidad humana básica. Es lo que comúnmente llamamos "espiritualidad”, pero hacemos bien en usar “religión” porque, a pesar de no gozar de muy buena prensa, es una palabra hermosa. Religión proviene del latín religare, que significa “volver a atar los lazos rotos". Por lo tanto, nuestra religiosidad es el proceso de volver a unir los lazos entre nosotros y nuestro verdadero ser, entre nosotros y los demás, y entre nosotros y la realidad última. Se trata de un concepto muy bello, pero lo que caracteriza a esta religiosidad o espiritualidad es el hecho de que pertenece a todos los seres humanos."</t>
  </si>
  <si>
    <t xml:space="preserve">F005</t>
  </si>
  <si>
    <t xml:space="preserve">Detenerse</t>
  </si>
  <si>
    <t xml:space="preserve">Como entrada al silencio</t>
  </si>
  <si>
    <t xml:space="preserve">"El primer paso lo llamamos “detenernos , pero la esencia de esta pausa no es detener el movimiento, sino entrar en el silencio. Y no podemos entrar en el silencio profundamente sin encontrarnos con el Misterio. Esa es la razón para detenernos, acallarnos y, desde el silencio, encontrarnos con el Misterio. Eso que no puedes tomar, manipular, agarrar, pero que se apodera de ti. Te toma. Eso que sucede cuando nos quedamos en silencio. En quietud."</t>
  </si>
  <si>
    <t xml:space="preserve">F006</t>
  </si>
  <si>
    <t xml:space="preserve">Como ruptura del piloto automático y retorno a la quietud</t>
  </si>
  <si>
    <t xml:space="preserve">"¡Detente! Todo depende de este primer paso. El hecho de detenernos puede sacarnos de un automatismo del que ni siquiera somos conscientes y permitirnos que, por primera vez, nos sintamos plenamente vivos. Aprender a detenernos y permanecer en la quietud es absolutamente necesario para escuchar con atención y responder con gratitud a la Vida, a cada instante. Detenerse, como lo entendemos aquí, significa sencillamente quedarse quieto."</t>
  </si>
  <si>
    <t xml:space="preserve">Orientacion</t>
  </si>
  <si>
    <t xml:space="preserve">F007</t>
  </si>
  <si>
    <t xml:space="preserve">Como conexión con el "porqué" y la observación de lo que se nos ofrece
"Detenernos, mirar y responder es algo similar a lo que les decimos a los niños cuando les enseñamos a cruzar la calle. Nos detenemos lo suficiente para ver lo que la vida nos ofrece. Este detenernos nos conduce al silencio. Luego, miramos para descubrir la palabra. [...] Al detenernos, nos conectamos con el porqué, con el silencio."</t>
  </si>
  <si>
    <t xml:space="preserve">F008</t>
  </si>
  <si>
    <t xml:space="preserve">Como el anclaje necesario para el momento presente (el "Ahora")
"Si no detenemos la rutina diaria, pasamos por alto el momento presente. Nuestra mente suele estar preocupada por el futuro o atada al pasado, y así perdemos de vista el ahora. Por eso necesitamos detenernos para poder apreciar lo que se nos brinda a cada momento."</t>
  </si>
  <si>
    <t xml:space="preserve">Detenernos</t>
  </si>
  <si>
    <t xml:space="preserve">F009</t>
  </si>
  <si>
    <t xml:space="preserve">Como un ejercicio de fe y confianza</t>
  </si>
  <si>
    <t xml:space="preserve">"Al detenerte, practicas la fe: confías en que la vida, y Aquel que nos da la vida, tienen un mensaje para ti, una invitación."</t>
  </si>
  <si>
    <t xml:space="preserve">Mirar</t>
  </si>
  <si>
    <t xml:space="preserve">F010</t>
  </si>
  <si>
    <t xml:space="preserve">Como conexión con el "qué" y la "palabra": "Al detenernos, nos conectamos con el porqué, con el silencio. Al mirar, nos conectamos con el qué, con la palabra. Al actuar, nos conectamos con el cómo, con el entendimiento a través de la acción."</t>
  </si>
  <si>
    <t xml:space="preserve">F011</t>
  </si>
  <si>
    <t xml:space="preserve">Como el despliegue del momento presente (de Orientación para una vida plena)</t>
  </si>
  <si>
    <t xml:space="preserve">"¡Mira! Anclados en la quietud interior, podemos ahora, como segundo paso, prestar plena atención a todo lo que el momento presente nos ofrece. Detenerte en silencio da tiempo a que tu forma de ver las cosas “madure", como dice Rilke, y entonces, “todo lo que observas viene hacia ti como una novia”."</t>
  </si>
  <si>
    <t xml:space="preserve">F012</t>
  </si>
  <si>
    <t xml:space="preserve">Como la búsqueda de la oportunidad (de Detenernos. El primer paso)</t>
  </si>
  <si>
    <t xml:space="preserve">"Paso dos: Estar atento a las oportunidades. Hay una pregunta simple que nos ayuda a practicar el segundo paso de la gratitud: “¿Cuál es mi oportunidad en esta situación?""</t>
  </si>
  <si>
    <t xml:space="preserve">F013</t>
  </si>
  <si>
    <t xml:space="preserve">Como el paso para descubrir lo que la vida ofrece</t>
  </si>
  <si>
    <t xml:space="preserve">"Nos detenemos lo suficiente para ver lo que la vida nos ofrece. Este detenernos nos conduce al silencio. Luego, miramos para descubrir la palabra."</t>
  </si>
  <si>
    <t xml:space="preserve">F014</t>
  </si>
  <si>
    <t xml:space="preserve">Responder</t>
  </si>
  <si>
    <t xml:space="preserve">Como interacción y conexión con el "cómo" a través de la acción
"Al actuar, aprovechamos esa oportunidad, interactuamos con la vida."
"Al actuar, nos conectamos con el cómo, con el entendimiento a través de la acción."</t>
  </si>
  <si>
    <t xml:space="preserve">F015</t>
  </si>
  <si>
    <t xml:space="preserve">Como un sí radical a la pertenencia y acción compasiva</t>
  </si>
  <si>
    <t xml:space="preserve">"Incluyo la compasión porque es decirle sí a la pertenencia con los otros, y esto está implicado en el “responder”. Se trata de una acción compasiva, un sí radical a la pertenencia con la persona que sufre."</t>
  </si>
  <si>
    <t xml:space="preserve">F016</t>
  </si>
  <si>
    <t xml:space="preserve">Como un ejercicio de amor y respuesta a un llamado personal (Vocación)</t>
  </si>
  <si>
    <t xml:space="preserve">"Esa respuesta es un ejercicio de amor, tu “¡sí!” a la pertenencia mutua. Es tu respuesta a un llamado muy personal, y convierte lo que sea que estés haciendo en una vocación, tu vocación única, ya que ninguna otra persona puede escuchar y responder con tu corazón."</t>
  </si>
  <si>
    <t xml:space="preserve">F017</t>
  </si>
  <si>
    <t xml:space="preserve">Como sintonía con la vida y "danza sagrada"
"Este responder como un juego será una acción intensa pero a la vez hecha sin esfuerzo alguno. ¿Por qué? Porque es una respuesta que toma con seriedad incluso las “pequeñas cosas de la vida, sabiendo que son “cosas esenciales”: esenciales para que tu acción esté a tono y en sintonía con la vida; esto es todo lo que importa. Cuando actuamos en sintonía con la vida, la fuerza de la vida fluye a través de nosotros. Y no importa lo que estemos haciendo, cualquier acción se volverá “una danza sagrada”." EL arte y la ciencia</t>
  </si>
  <si>
    <t xml:space="preserve">F018</t>
  </si>
  <si>
    <t xml:space="preserve">Asombro</t>
  </si>
  <si>
    <t xml:space="preserve">Como un tipo de sorpresa sostenida</t>
  </si>
  <si>
    <t xml:space="preserve">"A falta de un término mejor, asombro significa aquí un tipo de sorpresa sostenida en el tiempo." Corazon de la plegaria</t>
  </si>
  <si>
    <t xml:space="preserve">F019</t>
  </si>
  <si>
    <t xml:space="preserve">Como el sentimiento religioso primordial ante el Misterio</t>
  </si>
  <si>
    <t xml:space="preserve">"Cualquier encuentro con el Misterio desencadena espontáneamente el asombro, que es el sentimiento religioso primordial. El asombro es una mezcla paradójica de atracción irresistible y pavor profundamente conmovedor."</t>
  </si>
  <si>
    <t xml:space="preserve">F020</t>
  </si>
  <si>
    <t xml:space="preserve">"El asombro es la extraña sensación de perplejidad que surge en nuestro corazón al enfrentarnos con lo santo*. Aquello que caracteriza a las personas espiritualmente sabias es el asombro, no sólo como una experiencia ocasional, sino como una actitud de vida permanente; suelen ser personas conscientes de la presencia del Misterio en todo lo que en- cuentran. Y en el encuentro con otros seres humanos surge el asombro como consciencia de la dignidad humana*.
Necesitamos cultivar este sentido del asombro hoy en día, ya que se ha perdido; y varias consecuencias perjudiciales en nuestra sociedad pueden dar cuenta de ello. Una manera de recuperar el asombro es dejarnos enseñar por los niños, que, a través de su disposición abierta a sorprenderse, nos deve- lan tantas cosas que los adultos pasamos por alto, porque las damos por sentadas. La capacidad para sorprenderse de un niño es un elemento esencial del asombro."</t>
  </si>
  <si>
    <t xml:space="preserve">F021</t>
  </si>
  <si>
    <t xml:space="preserve">Sorpresa</t>
  </si>
  <si>
    <t xml:space="preserve">Como sinonimo de vida</t>
  </si>
  <si>
    <t xml:space="preserve">"Monotonía equivale a muerte; sorpresa equivale a vida. De hecho, el nombre que yo prefiero usar para Aquel a quien adoro (el único nombre que no le pone límites a Dios) es Sorpresa."</t>
  </si>
  <si>
    <t xml:space="preserve">F022</t>
  </si>
  <si>
    <t xml:space="preserve">Como sinonimo de dios</t>
  </si>
  <si>
    <t xml:space="preserve">"De hecho, 'sorpresa' es un buen nombre para Dios, porque no lo encierra en ningún concepto."</t>
  </si>
  <si>
    <t xml:space="preserve">F023</t>
  </si>
  <si>
    <t xml:space="preserve">Como la gran cualidad de lo que está vivo</t>
  </si>
  <si>
    <t xml:space="preserve">"tenemos esta confianza (que se da cuando nos detenemos), podemos mirar y confiar en la vida. Al mirar, nos damos cuenta de que la vida siempre nos sorprende. Esta es la gran cualidad de la
vida: la sorpresa. Si algo está vivo, nos sorprende. Lo mecánico, en cambio, no nos sorprende porque obra siempre de la misma manera; mientras que la vida, con sus cambios de rumbo, siempre nos sorprende.
La esperanza es la actitud por la cual nos abrimos a las sorpresas que la vida nos depara; y así como hicimos una distinción entre fe y creencias, también debemos distinguir entre esperanza y expectativas." confiar</t>
  </si>
  <si>
    <t xml:space="preserve">F024</t>
  </si>
  <si>
    <t xml:space="preserve">Como punto de partida de la gratitud</t>
  </si>
  <si>
    <t xml:space="preserve">"una sorpresa no nos deja automáticamente llenos de vida, sino que el estar plenamente vivos es un intercambio, implica una respuesta a esa sorpresa. Si dejamos que la sorpresa sólo nos desconcierte, ella nos va a aturdir e impedir nuestro crecimiento en gratitud. Cada sorpresa debe ser para nosotros un desafío para confiar en la vida y para crecer. La sorpresa es una semilla: la gratitud brota cuando aceptamos el desafío que esa sorpresa nos plantea. Los grandes representantes de la vida espiritual tienen esa energía vital precisamente por ser profundamente agradecidos"  detenernos 
"La sorpresa es el punto de partida. Mediante la sorpresa, nuestros ojos interiores se abren al asombroso hecho de que todo es gratuito. Nada debe ser dado por sentado; y si no puede ser dado por sentado, entonces es un regalo. Ese es el verdadero significado de la expresión que tan ligeramente usamos cuando hablamos de "un mundo dado". Cuando hablamos de una situación dada, un hecho dado, un mundo dado, usualmente nos referimos al hecho de que no lo podemos cambiar. Pero eso difícilmente sea tener plena conciencia de la realidad. Lo que deberíamos tener en mente cuando decimos que algo es "dado", es que es un regalo. La verdadera toma de conciencia nos revela la gratuidad de todo lo que nos rodea. Cuando nuestro intelecto aprende a reconocer el aspecto de obsequio que el mundo tiene; cuando nuestra voluntad aprende a aceptarlo y nuestros sentimientos a apreciarlo, entonces círculos de conciencia cada vez más amplios hacen que nuestro mundo reviva. Me viene a la mente la imagen de ondas expandiéndose en la superficie de una laguna. La piedra que las puso en movimiento equivale al pequeño "plop" de la sorpresa. A medida que las ondas se expanden, nos llenamos de vida. Como resultado, la gratitud será nuestro vivir en plenitud en un mundo que nos es dado gratuitamente."</t>
  </si>
  <si>
    <t xml:space="preserve">F025</t>
  </si>
  <si>
    <t xml:space="preserve">Oportunidad - don dentro del don</t>
  </si>
  <si>
    <t xml:space="preserve">"Oportunidad: Mientras no reconozcamos el papel preponderante que la oportunidad juega en el orden de las cosas, nuestra noción de gratitud será deficiente. Todo lo que existe en este mundo "dado" es un don; ahora bien, el don que cada don encierra dentro de sí mismo es la oportunidad. La mayoría de las veces esto significa oportunidad de disfrutar, pero a veces significa oportunidad de sacrificarse, de sufrir, e incluso de morir. Si no descubrimos las innumerables oportunidades que se nos presentan para disfrutar de la vida, ¿cómo vamos a estar atentos cuando se presente la oportunidad de servir a la vida? Quienes se dan cuenta de que el don dentro de cada don es la oportunidad, no entienden a la gratitud como pasiva. La gratitud es la actitud de conquista de un corazón dispuesto a aprovechar las oportunidades que se nos brindan a cada momento." gratitud corazon de la plegaria</t>
  </si>
  <si>
    <t xml:space="preserve">F026</t>
  </si>
  <si>
    <t xml:space="preserve">Como el "don dentro de cada regalo": "El don dentro de cada uno es la oportunidad. Ambos tipos de regalos (aquellos por los que podemos estar agradecidos y otros por los que no podemos) contienen ese verdadero don: la oportunidad. Es decir que la oportunidad es aquello por lo cual estamos agradecidos.
La mayoría de las veces se trata de la oportunidad de disfrutar, algo de lo que tomamos consciencia cuando comenzamos la práctica de una vida agradecida.
Gradualmente, comenzamos a darnos cuenta de los grandes regalos que hemos dado por descontado. Nuestros sentidos despiertan y notan con alegría las innumerables oportunidades de ver, oír, oler, saborear y tocar fuentes de felicidad a las que antes apenas les prestábamos atención."</t>
  </si>
  <si>
    <t xml:space="preserve">F027</t>
  </si>
  <si>
    <t xml:space="preserve">Como el desafío constante de la existencia y el Misterio</t>
  </si>
  <si>
    <t xml:space="preserve">"A cada momento la vida nos ofrece una oportunidad, y por lo tanto nos desafía a usarla."
"La vida es inmensamente generosa: si perdemos una oportunidad nos da otra, y otra, debido a su abundancia inagotable. Pero esta oferta repetida también es un desafío. Somos llamados a responder. Es nuestra responsabilidad estar a la altura de la oportunidad del momento, y de ese modo dar nuestra total respuesta a la vida, y al Misterio en el centro de la misma."</t>
  </si>
  <si>
    <t xml:space="preserve">F028</t>
  </si>
  <si>
    <t xml:space="preserve">Elección</t>
  </si>
  <si>
    <t xml:space="preserve">"Todos hemos sentido la carga de tener que hacer una ELECCIÓN. Nuestra experiencia de acciones internas como la elección debe tomarse tan en serio como la de las acciones externas, antes de que podamos investigar nuestro mundo sin prejuicios. Debemos tener esto en cuenta cuando la ciencia plantea si podemos demostrar objetivamente la libertad de ELECCIÓN.
Afortunadamente, como he dicho antes, no necesitamos esperar hasta que se resuelvan estos problemas especulativos. El objetivo de nuestra investigación es la orientación, y para nuestra orientación, es suficiente ser consciente de un terreno bien conocido, desde el cual podemos avanzar hacia lo desconocido. Nuestra experiencia subjetiva de elección proporciona un fundamento bien conocido. ELECCIÓN, por definición, implica libertad. Con esto en mente, podemos explorar formas de tratar de manera constructiva nuestro sentido de la libre elección, sin verse afectado por las teorías que afirman o niegan su validez objetiva. Como nos recuerda Jean-Paul Sartre (1905-1980), siempre estamos dispuestos a refugiarnos en la creencia en el determinismo si esta libertad nos pesa o si necesitamos una excusa."</t>
  </si>
  <si>
    <t xml:space="preserve">F029</t>
  </si>
  <si>
    <t xml:space="preserve">Presencia</t>
  </si>
  <si>
    <t xml:space="preserve">Como la práctica esencial de estar despierto en el ahora.</t>
  </si>
  <si>
    <t xml:space="preserve">"Entre las prácticas esenciales para la formación del ser humano, la presencia es la más básica de las tres. Si no estás presente aquí y ahora, no en modo automático, sino despierto, no puedes tener compasión ni emociones equilibradas. Si estás presente, no estás en tu ego. El ego se preocupa por el pasado o el futuro."</t>
  </si>
  <si>
    <t xml:space="preserve">F030</t>
  </si>
  <si>
    <t xml:space="preserve">Como "encuentro" y "comunión del corazón"  "La presencia es encuentro; la presencia es algo muy diferente a estar uno al lado del otro. El estar uno al lado del otro se convierte en presencia al encontrarse con el otro; el encuentro y la presencia están muy estrechamente conectados. Y me refiero ahora a la presencia como la experiencia de estar presente para otro, y no sólo estar presente para otra persona, sino estar presente para el agua que bebemos, para las flores que vemos y para... todo lo que se cruza en nuestro camino; cada cosa, cada persona, cada animal, cada planta, cada situación en la vida abierta al encuentro, entonces eso es presencia, eso es estar en la presencia. San Agustín dice 'el corazón habla al corazón', eso es presencia, cuando el corazón habla al corazón..." conferencia la gratitud camino a la presencia</t>
  </si>
  <si>
    <t xml:space="preserve">F031</t>
  </si>
  <si>
    <t xml:space="preserve">Atención Plena</t>
  </si>
  <si>
    <t xml:space="preserve">"ATENCIÓN PLENA
En el habla cotidiana, la atención plena hace referencia a una intensa percepción consciente de algo, un estado de atención caracterizado por centrar completamente nuestra mente en ello. Este proceso mental generalmente concentra el foco de nuestra atención, como cuando el área en la que enfocamos una lupa se vuelve más pequeña a medida que se torna más nítida. En contraste, el término atención plena en el lenguaje de la práctica espiritual hace referencia a un estado a través del cual el foco se amplía a medida que se vuelve más nítido. T. S. Eliot denomina a esta paradoja “concentración sin eli- minación". La atención plena, en este sentido, se centra en el momento presente, con todo lo que este contiene dentro de horizontes cada vez más amplios y en una profundidad cada vez mayor. " orientacion</t>
  </si>
  <si>
    <t xml:space="preserve">F032</t>
  </si>
  <si>
    <t xml:space="preserve">Compasión</t>
  </si>
  <si>
    <t xml:space="preserve">Como un "sí" radical a quien sufre (implicada en el "responder")
"Incluyo la compasión porque es decirle sí a la pertenencia con los otros, y esto está implicado en el “responder”. Se trata de una acción compasiva, un sí radical a la pertenencia con la persona que sufre. Y como te perteneces a ti mismo, haces por los demás lo que harías por tu propia persona. El otro eres tú mismo."</t>
  </si>
  <si>
    <t xml:space="preserve">F033</t>
  </si>
  <si>
    <t xml:space="preserve">Como una cualidad innata del corazón humano</t>
  </si>
  <si>
    <t xml:space="preserve">"Una de las primeras cosas que encuentran los niños cuando se dirigen a su corazón es la compasión. La encuentran de inmediato y luego pueden construir sobre eso."
"El asombro reverencial, la compasión y la vergüenza son innatos en todo ser humano. Nacemos con ellos, pero necesitamos cultivarlos." confiar</t>
  </si>
  <si>
    <t xml:space="preserve">F034</t>
  </si>
  <si>
    <t xml:space="preserve">Al cultivar la compasión hacia los enemigos 
"Al cultivar la compasión hacia ellos, puede ayudarte el verlos como los niños que alguna vez fueron (y que en cierta manera siguen siendo). No les tengas compasión “desde arriba”, sino que al imaginarte que te encuentras con ellos, sitúate siempre al mismo nivel, haciendo contacto visual."</t>
  </si>
  <si>
    <t xml:space="preserve">F035</t>
  </si>
  <si>
    <t xml:space="preserve">Miedo, Temor</t>
  </si>
  <si>
    <t xml:space="preserve">Como el opuesto de la fe y la raíz de la violencia y de la hostilidad</t>
  </si>
  <si>
    <t xml:space="preserve">"Lo opuesto a la fe, por tanto, no es el descreimiento o la falta de fe, sino el temor. El temor es la raíz de todos los males, ya que nos vuelve hostiles."
 "...la raíz de toda violencia es el miedo..."
 "...la opción opuesta a la fe no es la incredulidad, sino la desconfianza, el temor, el miedo." orientacion</t>
  </si>
  <si>
    <t xml:space="preserve">F036</t>
  </si>
  <si>
    <t xml:space="preserve">Como el temor a entregarse y a estar plenamente vivos "Hay una sola realidad en la raíz de todo lo que distorsiona o destruye nuestra vida, y es el miedo, simplemente tenemos miedo de estar vivos. ¿Por qué tenemos miedo de vivir? Porque estar vivos significa entregarnos, y cuando realmente nos entregamos, nunca sabemos qué nos puede suceder."</t>
  </si>
  <si>
    <t xml:space="preserve">F037</t>
  </si>
  <si>
    <t xml:space="preserve">Como resistencia a la angustia y confianza</t>
  </si>
  <si>
    <t xml:space="preserve">"Resulta importante distinguir entre miedo y angustia*. La angustia es inevitable, mientras que el miedo es opcional. Angustia, de raíz latina, se relaciona con “angosto”, “es- trecho". La vida, inevitablemente, nos conduce de tanto en tanto a situaciones angustiantes, como cuando tenemos que pasar por un punto de máxima estrechez. En tales momentos
nos enfrentamos a la necesidad de elegir entre la confianza o el miedo. La confianza dice: “Esto también pasará ; observa el peligro con la mayor calma posible, y lo afronta de la me- jor manera. El miedo, por el contrario, entra en pánico y em- plea toda su energía en resistir a la estrechez. Tomados por el pánico podemos encerrarnos en nosotros mismos, actuando como un puercoespín con sus puás erizadas, y lo único que logramos es quedar atascados en el lugar estrecho en que nos encontramos. Si confiamos en la Vida, esta nos conducirá a través de la estrechez hacia buen puerto. Al fin y al cabo, vinimos a este mundo a través del estrecho canal de parto, у cada situación estrecha puede convertirse en la oportunidad de un nuevo nacimiento." orientacion</t>
  </si>
  <si>
    <t xml:space="preserve">F038</t>
  </si>
  <si>
    <t xml:space="preserve">Como un reflejo o impulso instintivo de aferramiento "El miedo siempre se aferra a algo. Apenas sentimos miedo, nos aferramos a algo con los mismos reflejos con que un mono que se aferra a su madre. Estamos genéticamente condicionados a aferrarnos a algo cuando tenemos miedo." confiar</t>
  </si>
  <si>
    <t xml:space="preserve">F039</t>
  </si>
  <si>
    <t xml:space="preserve">Como la consecuencia de que el Yo se encoja en el Ego</t>
  </si>
  <si>
    <t xml:space="preserve">"El yo se olvida del yo mismo, se separan, y lo que queda es el yo encogido, convertido en el ego... tiene miedo."
 "Tenemos miedo porque hemos perdido al yo, y el yo mismo es uno. No puede ser dividido... Si somos todos uno, ¿de quién podría tener miedo?"</t>
  </si>
  <si>
    <t xml:space="preserve">F040</t>
  </si>
  <si>
    <t xml:space="preserve">Angustia</t>
  </si>
  <si>
    <t xml:space="preserve">"ANGUSTIΑ
La angustia, la ansiedad* y el miedo* son conceptos diferentes que deben distinguirse cuidadosamente. La angustia es nuestra reacción ante una amenaza que percibimos; sen- timos que no hay nada que podamos hacer para evitarla. Surge espontáneamente y suele provocar cambios corporales, modificar nuestra respiración, aumentar nuestra adrena- lina o cerrar nuestra garganta. Este sentido de estrechez está detrás de la palabra latina angustia. Cuando nos angustia- mos, tenemos dos opciones: podemos enfrentar con calma la situación que nos preocupa, responder razonablemente a la amenaza, y así atravesar ese espacio estrecho; o bien podemos reaccionar temerosamente, con una actitud que tiende a la arrogancia y preguntar: “¿Por qué a mí?”. Esta última actitud implicaría oponer resistencia y, en lugar de atrave- sar dicho espacio estrecho, nos quedaríamos atrapados. La vida nos lleva una y otra vez a este tipo de lugares. No podemos evitarlos, pero podemos aprender a atravesarlos con valentía. La angustia es inevitable, mientras que el miedo es opcional. La diferencia entre el coraje y el miedo depende de la confianza en la Vida, o de la falta de ella. El miedo es la falta de confianza." orientacion</t>
  </si>
  <si>
    <t xml:space="preserve">F041</t>
  </si>
  <si>
    <t xml:space="preserve">Ansiedad</t>
  </si>
  <si>
    <t xml:space="preserve">Como un pasaje estrecho e inevitable hacia un nuevo nacimiento</t>
  </si>
  <si>
    <t xml:space="preserve">"La vida trae inevitablemente ansiedades. Si resistimos la ansiedad debido al miedo, la falta de confianza, nos atascamos. La confianza en la vida nos permite atravesar el estrecho pasaje de la ansiedad hacia un nuevo nacimiento"</t>
  </si>
  <si>
    <t xml:space="preserve">F042</t>
  </si>
  <si>
    <t xml:space="preserve">"Ansiedad / Miedo
Las palabras que acabo de usar: ansiedad y miedo, representan otro par de términos que debemos distinguir cuidadosamente. La ansiedad es algo inevitable en la vida; el miedo es opcional. No podemos evitar el sentir ansiedad cuando nos acercamos a un punto estrecho del camino. Sin embargo, a pesar de nuestra angustia, podemos continuar caminando confiadamente y sin temor. El temor es una lucha interna que experimentamos cuando nos sentimos en aprietos; pero si nos resistimos, quedamos atascados. Si, por el contrario, continuamos confiadamente nuestro camino a pesar de la ansiedad que sentimos, cada paso por un cuello de botella puede significar un nuevo nacimiento." responder</t>
  </si>
  <si>
    <t xml:space="preserve">F043</t>
  </si>
  <si>
    <t xml:space="preserve">Esperanza</t>
  </si>
  <si>
    <t xml:space="preserve">"ESPERANZA
En un sentido espiritual, el significado de la palabra espe- ranza difiere ampliamente de su significado en el habla cotidiana. Lo que esperamos en la vida cotidiana es siempre algo que podemos imaginar, pero la esperanza en el sentido espiritual implica una apertura a lo inimaginable, es decir, estar abiertos a la sorpresa.
Por ello, debemos ser cuidadosos; en muchas ocasiones, nuestras esperanzas pueden incluso interponerse en el cami- no de la esperanza genuina si nos aferramos a lo que pode- mos imaginar y no confiamos en que la Vida sabe más." orientacion</t>
  </si>
  <si>
    <t xml:space="preserve">F044</t>
  </si>
  <si>
    <t xml:space="preserve">Como apertura a la sorpresa y a lo inimaginable (en contraste con las expectativas)</t>
  </si>
  <si>
    <t xml:space="preserve">"La esperanza es la actitud por la cual nos abrimos a las sorpresas que la vida nos depara; y así como hicimos una distinción entre fe y creencias, también debemos distinguir entre esperanza y expectativas"
"Las expectativas se refieren a aquello que podemos llegar a imaginarnos, mientras que la esperanza (actitud básica frente a la vida) es apertura a lo inimaginable... Ante el derrumbe de lo que habíamos imaginado, podemos permanecer abiertos a lo que no nos imaginamos. En esto consiste la verdadera esperanza"
"La esperanza es, entonces, apertura a la sorpresa"
"Esta apertura a las sorpresas se llama esperanza"
"...la esperanza es estar abierto a lo inimaginable, a la sorpresa"
"La Esperanza difiere de nuestras esperanzas en plural, ya que estas se dirigen siempre de forma expectante hacia algo que podemos imaginar, mientras que la Esperanza es apertura radical a la sorpresa, a lo inimaginable</t>
  </si>
  <si>
    <t xml:space="preserve">F045</t>
  </si>
  <si>
    <t xml:space="preserve">Fe</t>
  </si>
  <si>
    <t xml:space="preserve">Como una "confianza valiente" en la vida
"La fe es la confianza valiente en la Vida."
"Tener fe no significa principalmente aceptar dogmas o artículos de fe ni nada por el estilo. Tener fe es, en última instancia, tener una valiente confianza en la vida. La forma particular que toma nuestra propia fe religiosa depende totalmente de la época y el lugar, de la estructura social y de las formas culturales en las que nacemos, y existe una variedad infinita de ellas. Pero la esencia de nuestra fe es la misma en todo tiempo y lugar, y es el hecho de confiar valientemente en la vida. Tener fe es, en última instancia, tener una valiente confianza en la vida." 
"La fe tiene que ver mucho más con esa valiente confianza en la vida que obtenemos a partir de nuestros momentos de profundo conocimiento interior."
"Confía en que la vida te brindará a cada momento exactamente lo que necesitas. Esta valiente confianza se llama fe."</t>
  </si>
  <si>
    <t xml:space="preserve">F046</t>
  </si>
  <si>
    <t xml:space="preserve">Como la actitud básica de la religiosidad "La fe* es la actitud básica de la religiosidad y, por tanto, también es central en toda religión. De ahí que la fe sea un concepto clave para nuestra orientación. Sin embargo, es un término frecuentemente mal entendido.
El sustantivo fe no puede transformarse fácilmente en un verbo, como, por ejemplo, la esperanza en esperar, o el amor en amar. El verbo que corresponde a la fe no es “feer”, sino creer. Aquí está la raíz de los malentendidos, ya que creer puede significar dos conceptos muy diferentes: opinión o confianza. Cuando decimos “creo que mañana lloverá , ex- presamos una opinión; mientras que si decimos “te creo”, expresamos confianza. La distinción entre estos dos signifi- cados de creer es crucial."</t>
  </si>
  <si>
    <t xml:space="preserve">F047</t>
  </si>
  <si>
    <t xml:space="preserve">Vida</t>
  </si>
  <si>
    <t xml:space="preserve">"La Vida: el proceso para encontrar el Misterio
Es viviendo nuestra Vida que encontramos el Misterio y así hallamos el Sentido. Si vivimos la Vida plenamente, encon- traremos el Misterio inevitablemente. Si reconocemos esta conexión y la recordamos, ya nunca usaremos la palabra Vida sin implicar, al mismo tiempo, Misterio.
Vivir plenamente implica, por un lado, entender, afirmar y celebrar la Vida de la naturaleza, y por otro, vivir nues- tra vida personal en armonía con la Vida de la naturaleza. Consideraremos estos dos aspectos por separado, pero debe- mos recordar que se pertenecen inseparablemente." orientacion</t>
  </si>
  <si>
    <t xml:space="preserve">F048</t>
  </si>
  <si>
    <t xml:space="preserve">"No podemos definir la vida, así como no podemos definir el misterio. Sin embargo, así como podemos tener una comprensión experimental del misterio (aquello que no podemos aprehender pero que nos aprehende a nosotros), también podemos obtener una definición experimental de la vida. Podemos decir que la vida es esa condición dinámica en la que nos encontramos. Estamos inmersos en ella. Nos encontramos inmersos en esta condición dinámica. Y es una condición dinámica con la que estamos relacionados. Exactamente lo mismo que dijimos sobre el misterio (la paradoja de que somos parte de él), podemos decir de la vida. Estamos inmersos en la vida, la vivimos, y al mismo tiempo nos relacionamos con ella."</t>
  </si>
  <si>
    <t xml:space="preserve">F049</t>
  </si>
  <si>
    <t xml:space="preserve">Muerte</t>
  </si>
  <si>
    <t xml:space="preserve">"Muerte
En la muerte ocurren dos cosas: se nos quita la vida y morimos. No hay nada más pasivo que el ser privados de la vida, incluso en caso que sea sólo la edad avanzada lo que nos produce la muerte. Sin embargo, no hay nada más activo que el morir. Más aún: el verbo "morir no tiene voz pasiva. Yo puedo decir "me están matando , pero no puedo decir "me están muriendo". (Si alguien me "muriera me dejaría colorido, pero no muerto). El morir es algo que debo hacer, y que no sucederá mientras no me entregue voluntariamente al cambio. Muero a lo que era para empezar a vivir lo que voy a ser. En este sentido, cada momento es un morir para vivir. Así, el temor a la muerte resulta un temor a la vida. Aprender a morir entonces, es aprender a vivir." gratitud corazon de la plegaria</t>
  </si>
  <si>
    <t xml:space="preserve">F050</t>
  </si>
  <si>
    <t xml:space="preserve">Dignidad humana</t>
  </si>
  <si>
    <t xml:space="preserve">PENDIENTE</t>
  </si>
  <si>
    <t xml:space="preserve">F051</t>
  </si>
  <si>
    <t xml:space="preserve">Singularidad / originalidad</t>
  </si>
  <si>
    <t xml:space="preserve">F052</t>
  </si>
  <si>
    <t xml:space="preserve">Amar a los enemigos</t>
  </si>
  <si>
    <t xml:space="preserve">F053</t>
  </si>
  <si>
    <t xml:space="preserve">Indiferencia</t>
  </si>
  <si>
    <t xml:space="preserve">F054</t>
  </si>
  <si>
    <t xml:space="preserve">Cuidado a la naturaleza/ medio ambiente</t>
  </si>
  <si>
    <t xml:space="preserve">F055</t>
  </si>
  <si>
    <t xml:space="preserve">Red</t>
  </si>
  <si>
    <t xml:space="preserve">F056</t>
  </si>
  <si>
    <t xml:space="preserve">Poder y pirámide de poder</t>
  </si>
  <si>
    <t xml:space="preserve">F057</t>
  </si>
  <si>
    <t xml:space="preserve">Educación</t>
  </si>
  <si>
    <t xml:space="preserve">F058</t>
  </si>
  <si>
    <t xml:space="preserve">Responsabilidad ante la vida</t>
  </si>
  <si>
    <t xml:space="preserve">F059</t>
  </si>
  <si>
    <t xml:space="preserve">Integridad frente a la corrupción</t>
  </si>
  <si>
    <t xml:space="preserve">F060</t>
  </si>
  <si>
    <t xml:space="preserve">El desarraigo de la época y echar raíces</t>
  </si>
  <si>
    <t xml:space="preserve">F061</t>
  </si>
  <si>
    <t xml:space="preserve">F062</t>
  </si>
  <si>
    <t xml:space="preserve">Las tres preguntas existenciales: ¿Por qué? (nos conduce al Misterio como Silencio y origen); ¿Qué? (conduce al Misterio como Palabra que nos interpela en cada cosa); y ¿Cómo? (conduce al entendimiento a través de la acción de vivir)</t>
  </si>
  <si>
    <t xml:space="preserve">F063</t>
  </si>
  <si>
    <t xml:space="preserve">El corazon como centro de totalidad</t>
  </si>
  <si>
    <t xml:space="preserve">F064</t>
  </si>
  <si>
    <t xml:space="preserve">El sí mismo</t>
  </si>
  <si>
    <t xml:space="preserve">F065</t>
  </si>
  <si>
    <t xml:space="preserve">El ego</t>
  </si>
  <si>
    <t xml:space="preserve">F066</t>
  </si>
  <si>
    <t xml:space="preserve">El ello</t>
  </si>
  <si>
    <t xml:space="preserve">F067</t>
  </si>
  <si>
    <t xml:space="preserve">El gran Tu - Dios</t>
  </si>
  <si>
    <t xml:space="preserve">F068</t>
  </si>
  <si>
    <t xml:space="preserve">Palabra</t>
  </si>
  <si>
    <t xml:space="preserve">F069</t>
  </si>
  <si>
    <t xml:space="preserve">Espíritu</t>
  </si>
  <si>
    <t xml:space="preserve">F070</t>
  </si>
  <si>
    <t xml:space="preserve">Mísitco</t>
  </si>
  <si>
    <t xml:space="preserve">F071</t>
  </si>
  <si>
    <t xml:space="preserve">Obediencia</t>
  </si>
  <si>
    <t xml:space="preserve">F072</t>
  </si>
  <si>
    <t xml:space="preserve">Reverencia</t>
  </si>
  <si>
    <t xml:space="preserve">F073</t>
  </si>
  <si>
    <t xml:space="preserve">El peligro del congelamiento institucional</t>
  </si>
  <si>
    <t xml:space="preserve">F074</t>
  </si>
  <si>
    <t xml:space="preserve">La religión del corazón</t>
  </si>
  <si>
    <t xml:space="preserve">F075</t>
  </si>
  <si>
    <t xml:space="preserve">La trampa de los "ismos"</t>
  </si>
  <si>
    <t xml:space="preserve">F076</t>
  </si>
  <si>
    <t xml:space="preserve">Ritual</t>
  </si>
  <si>
    <t xml:space="preserve">F077</t>
  </si>
  <si>
    <t xml:space="preserve">Oración / plegaria</t>
  </si>
  <si>
    <t xml:space="preserve">F078</t>
  </si>
  <si>
    <t xml:space="preserve">Paz</t>
  </si>
  <si>
    <t xml:space="preserve">F079</t>
  </si>
  <si>
    <t xml:space="preserve">Propósito - sentido</t>
  </si>
  <si>
    <t xml:space="preserve">F080</t>
  </si>
  <si>
    <t xml:space="preserve">Trabajo</t>
  </si>
  <si>
    <t xml:space="preserve">F081</t>
  </si>
  <si>
    <t xml:space="preserve">Silencio y quietud</t>
  </si>
  <si>
    <t xml:space="preserve">F082</t>
  </si>
  <si>
    <t xml:space="preserve">Vocación</t>
  </si>
  <si>
    <t xml:space="preserve">F083</t>
  </si>
  <si>
    <t xml:space="preserve">Compromiso</t>
  </si>
  <si>
    <t xml:space="preserve">Concepto</t>
  </si>
  <si>
    <t xml:space="preserve">En qué consiste la diferencia</t>
  </si>
  <si>
    <t xml:space="preserve">De dónde sale</t>
  </si>
  <si>
    <t xml:space="preserve">Gozo</t>
  </si>
  <si>
    <t xml:space="preserve">Felicidad ordinaria</t>
  </si>
  <si>
    <t xml:space="preserve">La felicidad ordinaria depende de la buena suerte o de sucesos fortuitos. El gozo no depende de las circunstancias externas: brota de un corazón agradecido.</t>
  </si>
  <si>
    <t xml:space="preserve">Definición del tema 1</t>
  </si>
  <si>
    <t xml:space="preserve">Extraída</t>
  </si>
  <si>
    <t xml:space="preserve">Agradecido EN</t>
  </si>
  <si>
    <t xml:space="preserve">Agradecido POR</t>
  </si>
  <si>
    <t xml:space="preserve">Es imposible estar agradecidos por el sufrimiento, la violencia o la pérdida. Sí se puede estar agradecido en cada momento, por la oportunidad que contiene.</t>
  </si>
  <si>
    <t xml:space="preserve">Dogmas y creencias</t>
  </si>
  <si>
    <t xml:space="preserve">La fe no es adherir a doctrinas ni creencias intelectuales, que a menudo dividen. Es confianza valiente y radical en la Vida y en su Fuente.</t>
  </si>
  <si>
    <t xml:space="preserve">Definición del tema 2 y subtema Fe</t>
  </si>
  <si>
    <t xml:space="preserve">Confianza</t>
  </si>
  <si>
    <t xml:space="preserve">Miedo</t>
  </si>
  <si>
    <t xml:space="preserve">El polo opuesto de la confianza no es el descreimiento sino el temor. El miedo empuja a encogerse en el aislamiento defensivo del ego.</t>
  </si>
  <si>
    <t xml:space="preserve">Definición del tema 2</t>
  </si>
  <si>
    <t xml:space="preserve">La angustia es inevitable; el miedo no. El texto marca explícitamente que hay que distinguirlos.</t>
  </si>
  <si>
    <t xml:space="preserve">Subtema Angustia</t>
  </si>
  <si>
    <t xml:space="preserve">El texto los presenta como otro par de términos que deben distinguirse con cuidado. La ansiedad es un pasaje estrecho hacia un nuevo nacimiento.</t>
  </si>
  <si>
    <t xml:space="preserve">Subtema Ansiedad</t>
  </si>
  <si>
    <t xml:space="preserve">Expectativas</t>
  </si>
  <si>
    <t xml:space="preserve">La esperanza es apertura a la sorpresa y a lo inimaginable. La expectativa quiere algo determinado.</t>
  </si>
  <si>
    <t xml:space="preserve">Subtema Esperanza</t>
  </si>
  <si>
    <t xml:space="preserve">Amor</t>
  </si>
  <si>
    <t xml:space="preserve">Enamoramiento</t>
  </si>
  <si>
    <t xml:space="preserve">El amor no es preferencia ni atracción apasionada. Es un sí incondicional a la mutua pertenencia, expresado en actos concretos.</t>
  </si>
  <si>
    <t xml:space="preserve">Definición del tema 3</t>
  </si>
  <si>
    <t xml:space="preserve">El opuesto del amor no es el odio: el odio todavía reconoce un vínculo. La indiferencia es apatía y frialdad.</t>
  </si>
  <si>
    <t xml:space="preserve">Religión</t>
  </si>
  <si>
    <t xml:space="preserve">Religiones</t>
  </si>
  <si>
    <t xml:space="preserve">Religiones no es el plural de religión. La religión es la religiosidad humana básica, de religare, volver a atar los lazos rotos.</t>
  </si>
  <si>
    <t xml:space="preserve">Faceta F004, subtema Espiritualidad</t>
  </si>
  <si>
    <t xml:space="preserve">Ocio</t>
  </si>
  <si>
    <t xml:space="preserve">Holgazanería</t>
  </si>
  <si>
    <t xml:space="preserve">El ocio no es holgazanería ni privilegio de quien tiene tiempo libre. Es apertura, paciencia y equilibrio entre dar y recibir.</t>
  </si>
  <si>
    <t xml:space="preserve">Definición del tema 6</t>
  </si>
  <si>
    <t xml:space="preserve">Ser</t>
  </si>
  <si>
    <t xml:space="preserve">Hacer</t>
  </si>
  <si>
    <t xml:space="preserve">Antes que nada somos llamados a ser y no a hacer.</t>
  </si>
  <si>
    <t xml:space="preserve">Entender con el corazón</t>
  </si>
  <si>
    <t xml:space="preserve">Comprender con el intelecto</t>
  </si>
  <si>
    <t xml:space="preserve">Comprender implica atrapar y controlar. Al Misterio se lo entiende dejándose capturar y conmover, como una melodía que no se puede explicar.</t>
  </si>
  <si>
    <t xml:space="preserve">Definición del tema 4</t>
  </si>
  <si>
    <t xml:space="preserve">Sí Mismo</t>
  </si>
  <si>
    <t xml:space="preserve">Ego</t>
  </si>
  <si>
    <t xml:space="preserve">El verdadero ser es indivisible y común a todos. El ego es el pequeño aislamiento individual.</t>
  </si>
  <si>
    <t xml:space="preserve">Definición del tema 3 y subtemas</t>
  </si>
  <si>
    <t xml:space="preserve">Sorpresa puntual</t>
  </si>
  <si>
    <t xml:space="preserve">El asombro es un tipo de sorpresa sostenida en el tiempo.</t>
  </si>
  <si>
    <t xml:space="preserve">Subtema Asombro</t>
  </si>
  <si>
    <t xml:space="preserve">Gratitud de Br. David</t>
  </si>
  <si>
    <t xml:space="preserve">Pensamiento positivo</t>
  </si>
  <si>
    <t xml:space="preserve">A REDACTAR — la más importante para el buscador</t>
  </si>
  <si>
    <t xml:space="preserve">FALTA</t>
  </si>
  <si>
    <t xml:space="preserve">Sentido</t>
  </si>
  <si>
    <t xml:space="preserve">Propósito</t>
  </si>
  <si>
    <t xml:space="preserve">A REDACTAR — el subtema existe sin definir</t>
  </si>
  <si>
    <t xml:space="preserve">Sumisión</t>
  </si>
  <si>
    <t xml:space="preserve">Oración</t>
  </si>
  <si>
    <t xml:space="preserve">Rezos</t>
  </si>
  <si>
    <t xml:space="preserve">Novedad</t>
  </si>
  <si>
    <t xml:space="preserve">A REDACTAR</t>
  </si>
  <si>
    <t xml:space="preserve">Certeza</t>
  </si>
  <si>
    <t xml:space="preserve">Pobreza voluntaria</t>
  </si>
  <si>
    <t xml:space="preserve">Miseria</t>
  </si>
  <si>
    <t xml:space="preserve">Suficiencia</t>
  </si>
  <si>
    <t xml:space="preserve">Acumulación</t>
  </si>
  <si>
    <t xml:space="preserve">Las 15 primeras ya estaban escritas dentro de los textos del archivo original: no son aportes nuevos, solo se extrajeron a columnas para que el sistema pueda usarlas como criterio de ordenamiento. Las 8 últimas no están y hay que redactarlas.</t>
  </si>
  <si>
    <t xml:space="preserve">Concepto propuesto</t>
  </si>
  <si>
    <t xml:space="preserve">Por qué podría entrar</t>
  </si>
  <si>
    <t xml:space="preserve">Tema donde iría</t>
  </si>
  <si>
    <t xml:space="preserve">¿Entra? (sí / no / ya está)</t>
  </si>
  <si>
    <t xml:space="preserve">Gratuidad / lo dado</t>
  </si>
  <si>
    <t xml:space="preserve">Aparece dentro de la definición del tema 1 pero no tiene subtema propio. Es el fundamento de por qué la gratitud es la respuesta adecuada.</t>
  </si>
  <si>
    <t xml:space="preserve">Tema 1</t>
  </si>
  <si>
    <t xml:space="preserve">Dar por sentado</t>
  </si>
  <si>
    <t xml:space="preserve">El obstáculo principal de la gratitud, mencionado al pasar en el tema 1. No es la ingratitud deliberada sino la costumbre.</t>
  </si>
  <si>
    <t xml:space="preserve">Sufrimiento</t>
  </si>
  <si>
    <t xml:space="preserve">Tratado en la definición del tema 1 y central para las consultas sobre duelo y enfermedad, que son de las más frecuentes.</t>
  </si>
  <si>
    <t xml:space="preserve">Tema 1 o 2</t>
  </si>
  <si>
    <t xml:space="preserve">Está en la definición del tema 1 y en la distinción con felicidad, pero no tiene entrada propia.</t>
  </si>
  <si>
    <t xml:space="preserve">Pertenencia</t>
  </si>
  <si>
    <t xml:space="preserve">Da nombre al tema 3 y aparece en el 5, pero no está desarrollado como concepto.</t>
  </si>
  <si>
    <t xml:space="preserve">Tema 3 o 5</t>
  </si>
  <si>
    <t xml:space="preserve">Queja</t>
  </si>
  <si>
    <t xml:space="preserve">El hábito opuesto a la gratitud, y un tema natural para comunicación.</t>
  </si>
  <si>
    <t xml:space="preserve">Prisa</t>
  </si>
  <si>
    <t xml:space="preserve">Hace imposible el Detenerse y con eso toda la práctica.</t>
  </si>
  <si>
    <t xml:space="preserve">Tema 1 o 6</t>
  </si>
  <si>
    <t xml:space="preserve">Descanso</t>
  </si>
  <si>
    <t xml:space="preserve">Relacionado con Ocio: no recuperación para producir, sino condición para poder ver.</t>
  </si>
  <si>
    <t xml:space="preserve">Tema 6</t>
  </si>
  <si>
    <t xml:space="preserve">Generosidad</t>
  </si>
  <si>
    <t xml:space="preserve">Consecuencia natural de reconocer lo recibido. Conecta el mensaje con los proyectos de la Fundación.</t>
  </si>
  <si>
    <t xml:space="preserve">Tema 3</t>
  </si>
  <si>
    <t xml:space="preserve">Comunidad</t>
  </si>
  <si>
    <t xml:space="preserve">La gratitud se sostiene entre varios. Relevante para la Comunidad de Práctica.</t>
  </si>
  <si>
    <t xml:space="preserve">Bendición</t>
  </si>
  <si>
    <t xml:space="preserve">Lo que circula: se recibe y se pasa, nunca se posee.</t>
  </si>
  <si>
    <t xml:space="preserve">Tema 5</t>
  </si>
  <si>
    <t xml:space="preserve">Dimensión monástica</t>
  </si>
  <si>
    <t xml:space="preserve">Toda persona la tiene; el monasterio solo la hace explícita. Muy propio de él.</t>
  </si>
  <si>
    <t xml:space="preserve">ATENCIÓN: esta hoja no viene del material de la Fundación. Son propuestas armadas desde la obra publicada de Br. David en general, sin verificar contra el corpus. Sirven como lista de control, no como contenido. Descartar sin culpa lo que no corresponda.</t>
  </si>
  <si>
    <t xml:space="preserve">Punto</t>
  </si>
  <si>
    <t xml:space="preserve">Detalle</t>
  </si>
  <si>
    <t xml:space="preserve">Decisión del panel</t>
  </si>
  <si>
    <t xml:space="preserve">Subtema duplicado</t>
  </si>
  <si>
    <t xml:space="preserve">"Integridad frente a la corrupción" aparece dos veces: como subtema de El Amor (fila 60 del original) y como subtema de El Misterio (fila 62). Hay que decidir dónde vive, o dejarlo en uno y vincularlo al otro con la columna de conceptos relacionados.</t>
  </si>
  <si>
    <t xml:space="preserve">Espiritualidad en dos niveles</t>
  </si>
  <si>
    <t xml:space="preserve">Es subtema del tema 1 y a la vez el tema principal 5 se llama "Religiosidad y espiritualidad". Las cuatro facetas migradas de Espiritualidad hablan justamente de la relación entre religión y religiones, que es materia del tema 5.</t>
  </si>
  <si>
    <t xml:space="preserve">Título con barra sin resolver</t>
  </si>
  <si>
    <t xml:space="preserve">El tema 1 se llama "camino hacia una vida plena/hacia la felicidad". La barra parece esconder una decisión pendiente sobre cuál de los dos términos es el central, sobre todo porque la propia definición distingue el gozo de la felicidad ordinaria.</t>
  </si>
  <si>
    <t xml:space="preserve">Obras citadas en forma abreviada</t>
  </si>
  <si>
    <t xml:space="preserve">Los textos terminan con referencias como "Orientación", "Confiar", "Mirar", "Detenernos". Conviene fijar un identificador único por obra para que cada faceta quede enlazada al corpus sin ambigüedad.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</si>
</sst>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A1A1A"/>
      <name val="Arial"/>
      <family val="0"/>
      <charset val="1"/>
    </font>
    <font>
      <i val="true"/>
      <sz val="10"/>
      <color rgb="FF666666"/>
      <name val="Arial"/>
      <family val="0"/>
      <charset val="1"/>
    </font>
    <font>
      <b val="true"/>
      <sz val="11"/>
      <color rgb="FF2E5E7E"/>
      <name val="Arial"/>
      <family val="0"/>
      <charset val="1"/>
    </font>
    <font>
      <sz val="10"/>
      <name val="Arial"/>
      <family val="0"/>
      <charset val="1"/>
    </font>
    <font>
      <b val="true"/>
      <sz val="10"/>
      <color rgb="FFFFFFFF"/>
      <name val="Arial"/>
      <family val="0"/>
      <charset val="1"/>
    </font>
    <font>
      <b val="true"/>
      <sz val="10"/>
      <name val="Arial"/>
      <family val="0"/>
      <charset val="1"/>
    </font>
    <font>
      <b val="true"/>
      <sz val="10"/>
      <color rgb="FFA03A2A"/>
      <name val="Arial"/>
      <family val="0"/>
      <charset val="1"/>
    </font>
    <font>
      <i val="true"/>
      <sz val="10"/>
      <color rgb="FFA03A2A"/>
      <name val="Arial"/>
      <family val="0"/>
      <charset val="1"/>
    </font>
  </fonts>
  <fills count="5">
    <fill>
      <patternFill patternType="none"/>
    </fill>
    <fill>
      <patternFill patternType="gray125"/>
    </fill>
    <fill>
      <patternFill patternType="solid">
        <fgColor rgb="FF2E5E7E"/>
        <bgColor rgb="FF666666"/>
      </patternFill>
    </fill>
    <fill>
      <patternFill patternType="solid">
        <fgColor rgb="FFFFF9E0"/>
        <bgColor rgb="FFFDEEEA"/>
      </patternFill>
    </fill>
    <fill>
      <patternFill patternType="solid">
        <fgColor rgb="FFFDEEEA"/>
        <bgColor rgb="FFFFF9E0"/>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0"/>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DEEEA"/>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A03A2A"/>
      <rgbColor rgb="FF993366"/>
      <rgbColor rgb="FF2E5E7E"/>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17.35" hidden="false" customHeight="false" outlineLevel="0" collapsed="false">
      <c r="B2" s="1" t="s">
        <v>0</v>
      </c>
    </row>
    <row r="3" customFormat="false" ht="45" hidden="false" customHeight="tru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0" customFormat="false" ht="15" hidden="false" customHeight="false" outlineLevel="0" collapsed="false">
      <c r="B10" s="4" t="s">
        <v>7</v>
      </c>
    </row>
    <row r="12" customFormat="false" ht="15" hidden="false" customHeight="false" outlineLevel="0" collapsed="false">
      <c r="B12" s="3"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7" customFormat="false" ht="15" hidden="false" customHeight="false" outlineLevel="0" collapsed="false">
      <c r="B17" s="4" t="s">
        <v>13</v>
      </c>
    </row>
    <row r="19" customFormat="false" ht="15" hidden="false" customHeight="false" outlineLevel="0" collapsed="false">
      <c r="B19" s="3" t="s">
        <v>14</v>
      </c>
    </row>
    <row r="20" customFormat="false" ht="15" hidden="false" customHeight="false" outlineLevel="0" collapsed="false">
      <c r="B20" s="4" t="s">
        <v>15</v>
      </c>
    </row>
    <row r="21" customFormat="false" ht="15" hidden="false" customHeight="false" outlineLevel="0" collapsed="false">
      <c r="B21" s="4" t="s">
        <v>16</v>
      </c>
    </row>
    <row r="22" customFormat="false" ht="15" hidden="false" customHeight="false" outlineLevel="0" collapsed="false">
      <c r="B22" s="4" t="s">
        <v>17</v>
      </c>
    </row>
    <row r="23" customFormat="false" ht="15" hidden="false" customHeight="false" outlineLevel="0" collapsed="false">
      <c r="B23" s="4" t="s">
        <v>18</v>
      </c>
    </row>
    <row r="24" customFormat="false" ht="15" hidden="false" customHeight="false" outlineLevel="0" collapsed="false">
      <c r="B24" s="4" t="s">
        <v>19</v>
      </c>
    </row>
    <row r="26" customFormat="false" ht="15" hidden="false" customHeight="false" outlineLevel="0" collapsed="false">
      <c r="B26" s="3" t="s">
        <v>20</v>
      </c>
    </row>
    <row r="27" customFormat="false" ht="45" hidden="false" customHeight="true" outlineLevel="0" collapsed="false">
      <c r="B27" s="2" t="s">
        <v>21</v>
      </c>
    </row>
    <row r="29" customFormat="false" ht="15" hidden="false" customHeight="false" outlineLevel="0" collapsed="false">
      <c r="B29" s="3" t="s">
        <v>22</v>
      </c>
    </row>
    <row r="30" customFormat="false" ht="45" hidden="false" customHeight="true" outlineLevel="0" collapsed="false">
      <c r="B30"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95"/>
    <col collapsed="false" customWidth="true" hidden="false" outlineLevel="0" max="4" min="4" style="0" width="9"/>
    <col collapsed="false" customWidth="true" hidden="false" outlineLevel="0" max="5" min="5" style="0" width="11"/>
    <col collapsed="false" customWidth="true" hidden="false" outlineLevel="0" max="6" min="6" style="0" width="14"/>
  </cols>
  <sheetData>
    <row r="1" customFormat="false" ht="30" hidden="false" customHeight="true" outlineLevel="0" collapsed="false">
      <c r="A1" s="5" t="s">
        <v>24</v>
      </c>
      <c r="B1" s="5" t="s">
        <v>25</v>
      </c>
      <c r="C1" s="5" t="s">
        <v>26</v>
      </c>
      <c r="D1" s="5" t="s">
        <v>27</v>
      </c>
      <c r="E1" s="5" t="s">
        <v>28</v>
      </c>
      <c r="F1" s="5" t="s">
        <v>29</v>
      </c>
    </row>
    <row r="2" customFormat="false" ht="94.5" hidden="false" customHeight="true" outlineLevel="0" collapsed="false">
      <c r="A2" s="6" t="n">
        <v>1</v>
      </c>
      <c r="B2" s="7" t="s">
        <v>30</v>
      </c>
      <c r="C2" s="6" t="s">
        <v>31</v>
      </c>
      <c r="D2" s="6" t="n">
        <f aca="false">COUNTIF(Facetas!B:B,B2)</f>
        <v>34</v>
      </c>
      <c r="E2" s="6" t="n">
        <f aca="false">COUNTIFS(Facetas!B:B,B2,Facetas!J:J,"PENDIENTE")</f>
        <v>0</v>
      </c>
      <c r="F2" s="6" t="s">
        <v>32</v>
      </c>
    </row>
    <row r="3" customFormat="false" ht="94.5" hidden="false" customHeight="true" outlineLevel="0" collapsed="false">
      <c r="A3" s="6" t="n">
        <v>2</v>
      </c>
      <c r="B3" s="7" t="s">
        <v>33</v>
      </c>
      <c r="C3" s="6" t="s">
        <v>34</v>
      </c>
      <c r="D3" s="6" t="n">
        <f aca="false">COUNTIF(Facetas!B:B,B3)</f>
        <v>15</v>
      </c>
      <c r="E3" s="6" t="n">
        <f aca="false">COUNTIFS(Facetas!B:B,B3,Facetas!J:J,"PENDIENTE")</f>
        <v>0</v>
      </c>
      <c r="F3" s="6" t="s">
        <v>32</v>
      </c>
    </row>
    <row r="4" customFormat="false" ht="94.5" hidden="false" customHeight="true" outlineLevel="0" collapsed="false">
      <c r="A4" s="6" t="n">
        <v>3</v>
      </c>
      <c r="B4" s="7" t="s">
        <v>35</v>
      </c>
      <c r="C4" s="6" t="s">
        <v>36</v>
      </c>
      <c r="D4" s="6" t="n">
        <f aca="false">COUNTIF(Facetas!B:B,B4)</f>
        <v>11</v>
      </c>
      <c r="E4" s="6" t="n">
        <f aca="false">COUNTIFS(Facetas!B:B,B4,Facetas!J:J,"PENDIENTE")</f>
        <v>11</v>
      </c>
      <c r="F4" s="6" t="s">
        <v>37</v>
      </c>
    </row>
    <row r="5" customFormat="false" ht="94.5" hidden="false" customHeight="true" outlineLevel="0" collapsed="false">
      <c r="A5" s="6" t="n">
        <v>4</v>
      </c>
      <c r="B5" s="7" t="s">
        <v>38</v>
      </c>
      <c r="C5" s="6" t="s">
        <v>39</v>
      </c>
      <c r="D5" s="6" t="n">
        <f aca="false">COUNTIF(Facetas!B:B,B5)</f>
        <v>12</v>
      </c>
      <c r="E5" s="6" t="n">
        <f aca="false">COUNTIFS(Facetas!B:B,B5,Facetas!J:J,"PENDIENTE")</f>
        <v>12</v>
      </c>
      <c r="F5" s="6" t="s">
        <v>37</v>
      </c>
    </row>
    <row r="6" customFormat="false" ht="94.5" hidden="false" customHeight="true" outlineLevel="0" collapsed="false">
      <c r="A6" s="6" t="n">
        <v>5</v>
      </c>
      <c r="B6" s="7" t="s">
        <v>40</v>
      </c>
      <c r="C6" s="6" t="s">
        <v>41</v>
      </c>
      <c r="D6" s="6" t="n">
        <f aca="false">COUNTIF(Facetas!B:B,B6)</f>
        <v>6</v>
      </c>
      <c r="E6" s="6" t="n">
        <f aca="false">COUNTIFS(Facetas!B:B,B6,Facetas!J:J,"PENDIENTE")</f>
        <v>6</v>
      </c>
      <c r="F6" s="6" t="s">
        <v>37</v>
      </c>
    </row>
    <row r="7" customFormat="false" ht="94.5" hidden="false" customHeight="true" outlineLevel="0" collapsed="false">
      <c r="A7" s="6" t="n">
        <v>6</v>
      </c>
      <c r="B7" s="7" t="s">
        <v>42</v>
      </c>
      <c r="C7" s="6" t="s">
        <v>43</v>
      </c>
      <c r="D7" s="6" t="n">
        <f aca="false">COUNTIF(Facetas!B:B,B7)</f>
        <v>5</v>
      </c>
      <c r="E7" s="6" t="n">
        <f aca="false">COUNTIFS(Facetas!B:B,B7,Facetas!J:J,"PENDIENTE")</f>
        <v>5</v>
      </c>
      <c r="F7" s="6" t="s">
        <v>37</v>
      </c>
    </row>
    <row r="9" customFormat="false" ht="46.25" hidden="false" customHeight="false" outlineLevel="0" collapsed="false">
      <c r="B9" s="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6"/>
    <col collapsed="false" customWidth="true" hidden="false" outlineLevel="0" max="4" min="4" style="0" width="34"/>
    <col collapsed="false" customWidth="true" hidden="false" outlineLevel="0" max="5" min="5" style="0" width="90"/>
    <col collapsed="false" customWidth="true" hidden="false" outlineLevel="0" max="7" min="6" style="0" width="20"/>
    <col collapsed="false" customWidth="true" hidden="false" outlineLevel="0" max="8" min="8" style="0" width="22"/>
    <col collapsed="false" customWidth="true" hidden="false" outlineLevel="0" max="9" min="9" style="0" width="28"/>
    <col collapsed="false" customWidth="true" hidden="false" outlineLevel="0" max="10" min="10" style="0" width="12"/>
    <col collapsed="false" customWidth="true" hidden="false" outlineLevel="0" max="11" min="11" style="0" width="30"/>
  </cols>
  <sheetData>
    <row r="1" customFormat="false" ht="30" hidden="false" customHeight="true" outlineLevel="0" collapsed="false">
      <c r="A1" s="5" t="s">
        <v>45</v>
      </c>
      <c r="B1" s="5" t="s">
        <v>46</v>
      </c>
      <c r="C1" s="5" t="s">
        <v>47</v>
      </c>
      <c r="D1" s="5" t="s">
        <v>48</v>
      </c>
      <c r="E1" s="5" t="s">
        <v>49</v>
      </c>
      <c r="F1" s="5" t="s">
        <v>50</v>
      </c>
      <c r="G1" s="5" t="s">
        <v>51</v>
      </c>
      <c r="H1" s="5" t="s">
        <v>52</v>
      </c>
      <c r="I1" s="5" t="s">
        <v>53</v>
      </c>
      <c r="J1" s="5" t="s">
        <v>29</v>
      </c>
      <c r="K1" s="5" t="s">
        <v>54</v>
      </c>
    </row>
    <row r="2" customFormat="false" ht="61.5" hidden="false" customHeight="true" outlineLevel="0" collapsed="false">
      <c r="A2" s="6" t="s">
        <v>55</v>
      </c>
      <c r="B2" s="6" t="s">
        <v>30</v>
      </c>
      <c r="C2" s="6" t="s">
        <v>56</v>
      </c>
      <c r="D2" s="6"/>
      <c r="E2" s="6" t="s">
        <v>57</v>
      </c>
      <c r="F2" s="6" t="s">
        <v>58</v>
      </c>
      <c r="G2" s="8"/>
      <c r="H2" s="8"/>
      <c r="I2" s="8"/>
      <c r="J2" s="6" t="s">
        <v>59</v>
      </c>
      <c r="K2" s="8"/>
    </row>
    <row r="3" customFormat="false" ht="61.5" hidden="false" customHeight="true" outlineLevel="0" collapsed="false">
      <c r="A3" s="6" t="s">
        <v>60</v>
      </c>
      <c r="B3" s="6" t="s">
        <v>30</v>
      </c>
      <c r="C3" s="6" t="s">
        <v>56</v>
      </c>
      <c r="D3" s="6"/>
      <c r="E3" s="6" t="s">
        <v>61</v>
      </c>
      <c r="F3" s="6"/>
      <c r="G3" s="8"/>
      <c r="H3" s="8"/>
      <c r="I3" s="8"/>
      <c r="J3" s="6" t="s">
        <v>59</v>
      </c>
      <c r="K3" s="8"/>
    </row>
    <row r="4" customFormat="false" ht="61.5" hidden="false" customHeight="true" outlineLevel="0" collapsed="false">
      <c r="A4" s="6" t="s">
        <v>62</v>
      </c>
      <c r="B4" s="6" t="s">
        <v>30</v>
      </c>
      <c r="C4" s="6" t="s">
        <v>56</v>
      </c>
      <c r="D4" s="6"/>
      <c r="E4" s="6" t="s">
        <v>63</v>
      </c>
      <c r="F4" s="6" t="s">
        <v>64</v>
      </c>
      <c r="G4" s="8"/>
      <c r="H4" s="8"/>
      <c r="I4" s="8"/>
      <c r="J4" s="6" t="s">
        <v>59</v>
      </c>
      <c r="K4" s="8"/>
    </row>
    <row r="5" customFormat="false" ht="61.5" hidden="false" customHeight="true" outlineLevel="0" collapsed="false">
      <c r="A5" s="6" t="s">
        <v>65</v>
      </c>
      <c r="B5" s="6" t="s">
        <v>30</v>
      </c>
      <c r="C5" s="6" t="s">
        <v>56</v>
      </c>
      <c r="D5" s="6"/>
      <c r="E5" s="6" t="s">
        <v>66</v>
      </c>
      <c r="F5" s="6"/>
      <c r="G5" s="8"/>
      <c r="H5" s="8"/>
      <c r="I5" s="8"/>
      <c r="J5" s="6" t="s">
        <v>59</v>
      </c>
      <c r="K5" s="8"/>
    </row>
    <row r="6" customFormat="false" ht="61.5" hidden="false" customHeight="true" outlineLevel="0" collapsed="false">
      <c r="A6" s="6" t="s">
        <v>67</v>
      </c>
      <c r="B6" s="6" t="s">
        <v>30</v>
      </c>
      <c r="C6" s="6" t="s">
        <v>68</v>
      </c>
      <c r="D6" s="6" t="s">
        <v>69</v>
      </c>
      <c r="E6" s="6" t="s">
        <v>70</v>
      </c>
      <c r="F6" s="6"/>
      <c r="G6" s="8"/>
      <c r="H6" s="8"/>
      <c r="I6" s="8"/>
      <c r="J6" s="6" t="s">
        <v>59</v>
      </c>
      <c r="K6" s="8"/>
    </row>
    <row r="7" customFormat="false" ht="61.5" hidden="false" customHeight="true" outlineLevel="0" collapsed="false">
      <c r="A7" s="6" t="s">
        <v>71</v>
      </c>
      <c r="B7" s="6" t="s">
        <v>30</v>
      </c>
      <c r="C7" s="6" t="s">
        <v>68</v>
      </c>
      <c r="D7" s="6" t="s">
        <v>72</v>
      </c>
      <c r="E7" s="6" t="s">
        <v>73</v>
      </c>
      <c r="F7" s="6" t="s">
        <v>74</v>
      </c>
      <c r="G7" s="8"/>
      <c r="H7" s="8"/>
      <c r="I7" s="8"/>
      <c r="J7" s="6" t="s">
        <v>59</v>
      </c>
      <c r="K7" s="8"/>
    </row>
    <row r="8" customFormat="false" ht="61.5" hidden="false" customHeight="true" outlineLevel="0" collapsed="false">
      <c r="A8" s="6" t="s">
        <v>75</v>
      </c>
      <c r="B8" s="6" t="s">
        <v>30</v>
      </c>
      <c r="C8" s="6" t="s">
        <v>68</v>
      </c>
      <c r="D8" s="6"/>
      <c r="E8" s="6" t="s">
        <v>76</v>
      </c>
      <c r="F8" s="6" t="s">
        <v>64</v>
      </c>
      <c r="G8" s="8"/>
      <c r="H8" s="8"/>
      <c r="I8" s="8"/>
      <c r="J8" s="6" t="s">
        <v>59</v>
      </c>
      <c r="K8" s="8"/>
    </row>
    <row r="9" customFormat="false" ht="61.5" hidden="false" customHeight="true" outlineLevel="0" collapsed="false">
      <c r="A9" s="6" t="s">
        <v>77</v>
      </c>
      <c r="B9" s="6" t="s">
        <v>30</v>
      </c>
      <c r="C9" s="6" t="s">
        <v>68</v>
      </c>
      <c r="D9" s="6"/>
      <c r="E9" s="6" t="s">
        <v>78</v>
      </c>
      <c r="F9" s="6" t="s">
        <v>79</v>
      </c>
      <c r="G9" s="8"/>
      <c r="H9" s="8"/>
      <c r="I9" s="8"/>
      <c r="J9" s="6" t="s">
        <v>59</v>
      </c>
      <c r="K9" s="8"/>
    </row>
    <row r="10" customFormat="false" ht="61.5" hidden="false" customHeight="true" outlineLevel="0" collapsed="false">
      <c r="A10" s="6" t="s">
        <v>80</v>
      </c>
      <c r="B10" s="6" t="s">
        <v>30</v>
      </c>
      <c r="C10" s="6" t="s">
        <v>68</v>
      </c>
      <c r="D10" s="6" t="s">
        <v>81</v>
      </c>
      <c r="E10" s="6" t="s">
        <v>82</v>
      </c>
      <c r="F10" s="6" t="s">
        <v>83</v>
      </c>
      <c r="G10" s="8"/>
      <c r="H10" s="8"/>
      <c r="I10" s="8"/>
      <c r="J10" s="6" t="s">
        <v>59</v>
      </c>
      <c r="K10" s="8"/>
    </row>
    <row r="11" customFormat="false" ht="61.5" hidden="false" customHeight="true" outlineLevel="0" collapsed="false">
      <c r="A11" s="6" t="s">
        <v>84</v>
      </c>
      <c r="B11" s="6" t="s">
        <v>30</v>
      </c>
      <c r="C11" s="6" t="s">
        <v>83</v>
      </c>
      <c r="D11" s="6"/>
      <c r="E11" s="6" t="s">
        <v>85</v>
      </c>
      <c r="F11" s="6" t="s">
        <v>64</v>
      </c>
      <c r="G11" s="8"/>
      <c r="H11" s="8"/>
      <c r="I11" s="8"/>
      <c r="J11" s="6" t="s">
        <v>59</v>
      </c>
      <c r="K11" s="8"/>
    </row>
    <row r="12" customFormat="false" ht="61.5" hidden="false" customHeight="true" outlineLevel="0" collapsed="false">
      <c r="A12" s="6" t="s">
        <v>86</v>
      </c>
      <c r="B12" s="6" t="s">
        <v>30</v>
      </c>
      <c r="C12" s="6" t="s">
        <v>83</v>
      </c>
      <c r="D12" s="6" t="s">
        <v>87</v>
      </c>
      <c r="E12" s="6" t="s">
        <v>88</v>
      </c>
      <c r="F12" s="6" t="s">
        <v>74</v>
      </c>
      <c r="G12" s="8"/>
      <c r="H12" s="8"/>
      <c r="I12" s="8"/>
      <c r="J12" s="6" t="s">
        <v>59</v>
      </c>
      <c r="K12" s="8"/>
    </row>
    <row r="13" customFormat="false" ht="61.5" hidden="false" customHeight="true" outlineLevel="0" collapsed="false">
      <c r="A13" s="6" t="s">
        <v>89</v>
      </c>
      <c r="B13" s="6" t="s">
        <v>30</v>
      </c>
      <c r="C13" s="6" t="s">
        <v>83</v>
      </c>
      <c r="D13" s="6" t="s">
        <v>90</v>
      </c>
      <c r="E13" s="6" t="s">
        <v>91</v>
      </c>
      <c r="F13" s="6"/>
      <c r="G13" s="8"/>
      <c r="H13" s="8"/>
      <c r="I13" s="8"/>
      <c r="J13" s="6" t="s">
        <v>59</v>
      </c>
      <c r="K13" s="8"/>
    </row>
    <row r="14" customFormat="false" ht="61.5" hidden="false" customHeight="true" outlineLevel="0" collapsed="false">
      <c r="A14" s="6" t="s">
        <v>92</v>
      </c>
      <c r="B14" s="6" t="s">
        <v>30</v>
      </c>
      <c r="C14" s="6" t="s">
        <v>83</v>
      </c>
      <c r="D14" s="6" t="s">
        <v>93</v>
      </c>
      <c r="E14" s="6" t="s">
        <v>94</v>
      </c>
      <c r="F14" s="6" t="s">
        <v>64</v>
      </c>
      <c r="G14" s="8"/>
      <c r="H14" s="8"/>
      <c r="I14" s="8"/>
      <c r="J14" s="6" t="s">
        <v>59</v>
      </c>
      <c r="K14" s="8"/>
    </row>
    <row r="15" customFormat="false" ht="61.5" hidden="false" customHeight="true" outlineLevel="0" collapsed="false">
      <c r="A15" s="6" t="s">
        <v>95</v>
      </c>
      <c r="B15" s="6" t="s">
        <v>30</v>
      </c>
      <c r="C15" s="6" t="s">
        <v>96</v>
      </c>
      <c r="D15" s="6"/>
      <c r="E15" s="6" t="s">
        <v>97</v>
      </c>
      <c r="F15" s="6" t="s">
        <v>64</v>
      </c>
      <c r="G15" s="8"/>
      <c r="H15" s="8"/>
      <c r="I15" s="8"/>
      <c r="J15" s="6" t="s">
        <v>59</v>
      </c>
      <c r="K15" s="8"/>
    </row>
    <row r="16" customFormat="false" ht="61.5" hidden="false" customHeight="true" outlineLevel="0" collapsed="false">
      <c r="A16" s="6" t="s">
        <v>98</v>
      </c>
      <c r="B16" s="6" t="s">
        <v>30</v>
      </c>
      <c r="C16" s="6" t="s">
        <v>96</v>
      </c>
      <c r="D16" s="6" t="s">
        <v>99</v>
      </c>
      <c r="E16" s="6" t="s">
        <v>100</v>
      </c>
      <c r="F16" s="6" t="s">
        <v>64</v>
      </c>
      <c r="G16" s="8"/>
      <c r="H16" s="8"/>
      <c r="I16" s="8"/>
      <c r="J16" s="6" t="s">
        <v>59</v>
      </c>
      <c r="K16" s="8"/>
    </row>
    <row r="17" customFormat="false" ht="61.5" hidden="false" customHeight="true" outlineLevel="0" collapsed="false">
      <c r="A17" s="6" t="s">
        <v>101</v>
      </c>
      <c r="B17" s="6" t="s">
        <v>30</v>
      </c>
      <c r="C17" s="6" t="s">
        <v>96</v>
      </c>
      <c r="D17" s="6" t="s">
        <v>102</v>
      </c>
      <c r="E17" s="6" t="s">
        <v>103</v>
      </c>
      <c r="F17" s="6" t="s">
        <v>83</v>
      </c>
      <c r="G17" s="8"/>
      <c r="H17" s="8"/>
      <c r="I17" s="8"/>
      <c r="J17" s="6" t="s">
        <v>59</v>
      </c>
      <c r="K17" s="8"/>
    </row>
    <row r="18" customFormat="false" ht="61.5" hidden="false" customHeight="true" outlineLevel="0" collapsed="false">
      <c r="A18" s="6" t="s">
        <v>104</v>
      </c>
      <c r="B18" s="6" t="s">
        <v>30</v>
      </c>
      <c r="C18" s="6" t="s">
        <v>96</v>
      </c>
      <c r="D18" s="6"/>
      <c r="E18" s="6" t="s">
        <v>105</v>
      </c>
      <c r="F18" s="6"/>
      <c r="G18" s="8"/>
      <c r="H18" s="8"/>
      <c r="I18" s="8"/>
      <c r="J18" s="6" t="s">
        <v>59</v>
      </c>
      <c r="K18" s="8"/>
    </row>
    <row r="19" customFormat="false" ht="61.5" hidden="false" customHeight="true" outlineLevel="0" collapsed="false">
      <c r="A19" s="6" t="s">
        <v>106</v>
      </c>
      <c r="B19" s="6" t="s">
        <v>30</v>
      </c>
      <c r="C19" s="6" t="s">
        <v>107</v>
      </c>
      <c r="D19" s="6" t="s">
        <v>108</v>
      </c>
      <c r="E19" s="6" t="s">
        <v>109</v>
      </c>
      <c r="F19" s="6"/>
      <c r="G19" s="8"/>
      <c r="H19" s="8"/>
      <c r="I19" s="8"/>
      <c r="J19" s="6" t="s">
        <v>59</v>
      </c>
      <c r="K19" s="8"/>
    </row>
    <row r="20" customFormat="false" ht="61.5" hidden="false" customHeight="true" outlineLevel="0" collapsed="false">
      <c r="A20" s="6" t="s">
        <v>110</v>
      </c>
      <c r="B20" s="6" t="s">
        <v>30</v>
      </c>
      <c r="C20" s="6" t="s">
        <v>107</v>
      </c>
      <c r="D20" s="6" t="s">
        <v>111</v>
      </c>
      <c r="E20" s="6" t="s">
        <v>112</v>
      </c>
      <c r="F20" s="6" t="s">
        <v>74</v>
      </c>
      <c r="G20" s="8"/>
      <c r="H20" s="8"/>
      <c r="I20" s="8"/>
      <c r="J20" s="6" t="s">
        <v>59</v>
      </c>
      <c r="K20" s="8"/>
    </row>
    <row r="21" customFormat="false" ht="61.5" hidden="false" customHeight="true" outlineLevel="0" collapsed="false">
      <c r="A21" s="6" t="s">
        <v>113</v>
      </c>
      <c r="B21" s="6" t="s">
        <v>30</v>
      </c>
      <c r="C21" s="6" t="s">
        <v>107</v>
      </c>
      <c r="D21" s="6"/>
      <c r="E21" s="6" t="s">
        <v>114</v>
      </c>
      <c r="F21" s="6" t="s">
        <v>74</v>
      </c>
      <c r="G21" s="8"/>
      <c r="H21" s="8"/>
      <c r="I21" s="8"/>
      <c r="J21" s="6" t="s">
        <v>59</v>
      </c>
      <c r="K21" s="8"/>
    </row>
    <row r="22" customFormat="false" ht="61.5" hidden="false" customHeight="true" outlineLevel="0" collapsed="false">
      <c r="A22" s="6" t="s">
        <v>115</v>
      </c>
      <c r="B22" s="6" t="s">
        <v>30</v>
      </c>
      <c r="C22" s="6" t="s">
        <v>116</v>
      </c>
      <c r="D22" s="6" t="s">
        <v>117</v>
      </c>
      <c r="E22" s="6" t="s">
        <v>118</v>
      </c>
      <c r="F22" s="6" t="s">
        <v>79</v>
      </c>
      <c r="G22" s="8"/>
      <c r="H22" s="8"/>
      <c r="I22" s="8"/>
      <c r="J22" s="6" t="s">
        <v>59</v>
      </c>
      <c r="K22" s="8"/>
    </row>
    <row r="23" customFormat="false" ht="61.5" hidden="false" customHeight="true" outlineLevel="0" collapsed="false">
      <c r="A23" s="6" t="s">
        <v>119</v>
      </c>
      <c r="B23" s="6" t="s">
        <v>30</v>
      </c>
      <c r="C23" s="6" t="s">
        <v>116</v>
      </c>
      <c r="D23" s="6" t="s">
        <v>120</v>
      </c>
      <c r="E23" s="6" t="s">
        <v>121</v>
      </c>
      <c r="F23" s="6" t="s">
        <v>83</v>
      </c>
      <c r="G23" s="8"/>
      <c r="H23" s="8"/>
      <c r="I23" s="8"/>
      <c r="J23" s="6" t="s">
        <v>59</v>
      </c>
      <c r="K23" s="8"/>
    </row>
    <row r="24" customFormat="false" ht="61.5" hidden="false" customHeight="true" outlineLevel="0" collapsed="false">
      <c r="A24" s="6" t="s">
        <v>122</v>
      </c>
      <c r="B24" s="6" t="s">
        <v>30</v>
      </c>
      <c r="C24" s="6" t="s">
        <v>116</v>
      </c>
      <c r="D24" s="6" t="s">
        <v>123</v>
      </c>
      <c r="E24" s="6" t="s">
        <v>124</v>
      </c>
      <c r="F24" s="6"/>
      <c r="G24" s="8"/>
      <c r="H24" s="8"/>
      <c r="I24" s="8"/>
      <c r="J24" s="6" t="s">
        <v>59</v>
      </c>
      <c r="K24" s="8"/>
    </row>
    <row r="25" customFormat="false" ht="61.5" hidden="false" customHeight="true" outlineLevel="0" collapsed="false">
      <c r="A25" s="6" t="s">
        <v>125</v>
      </c>
      <c r="B25" s="6" t="s">
        <v>30</v>
      </c>
      <c r="C25" s="6" t="s">
        <v>116</v>
      </c>
      <c r="D25" s="6" t="s">
        <v>126</v>
      </c>
      <c r="E25" s="6" t="s">
        <v>127</v>
      </c>
      <c r="F25" s="6"/>
      <c r="G25" s="8"/>
      <c r="H25" s="8"/>
      <c r="I25" s="8"/>
      <c r="J25" s="6" t="s">
        <v>59</v>
      </c>
      <c r="K25" s="8"/>
    </row>
    <row r="26" customFormat="false" ht="61.5" hidden="false" customHeight="true" outlineLevel="0" collapsed="false">
      <c r="A26" s="6" t="s">
        <v>128</v>
      </c>
      <c r="B26" s="6" t="s">
        <v>30</v>
      </c>
      <c r="C26" s="6" t="s">
        <v>129</v>
      </c>
      <c r="D26" s="6"/>
      <c r="E26" s="6" t="s">
        <v>130</v>
      </c>
      <c r="F26" s="6"/>
      <c r="G26" s="8"/>
      <c r="H26" s="8"/>
      <c r="I26" s="8"/>
      <c r="J26" s="6" t="s">
        <v>59</v>
      </c>
      <c r="K26" s="8"/>
    </row>
    <row r="27" customFormat="false" ht="61.5" hidden="false" customHeight="true" outlineLevel="0" collapsed="false">
      <c r="A27" s="6" t="s">
        <v>131</v>
      </c>
      <c r="B27" s="6" t="s">
        <v>30</v>
      </c>
      <c r="C27" s="6" t="s">
        <v>129</v>
      </c>
      <c r="D27" s="6"/>
      <c r="E27" s="6" t="s">
        <v>132</v>
      </c>
      <c r="F27" s="6" t="s">
        <v>64</v>
      </c>
      <c r="G27" s="8"/>
      <c r="H27" s="8"/>
      <c r="I27" s="8"/>
      <c r="J27" s="6" t="s">
        <v>59</v>
      </c>
      <c r="K27" s="8"/>
    </row>
    <row r="28" customFormat="false" ht="61.5" hidden="false" customHeight="true" outlineLevel="0" collapsed="false">
      <c r="A28" s="6" t="s">
        <v>133</v>
      </c>
      <c r="B28" s="6" t="s">
        <v>30</v>
      </c>
      <c r="C28" s="6" t="s">
        <v>129</v>
      </c>
      <c r="D28" s="6" t="s">
        <v>134</v>
      </c>
      <c r="E28" s="6" t="s">
        <v>135</v>
      </c>
      <c r="F28" s="6" t="s">
        <v>74</v>
      </c>
      <c r="G28" s="8"/>
      <c r="H28" s="8"/>
      <c r="I28" s="8"/>
      <c r="J28" s="6" t="s">
        <v>59</v>
      </c>
      <c r="K28" s="8"/>
    </row>
    <row r="29" customFormat="false" ht="61.5" hidden="false" customHeight="true" outlineLevel="0" collapsed="false">
      <c r="A29" s="6" t="s">
        <v>136</v>
      </c>
      <c r="B29" s="6" t="s">
        <v>30</v>
      </c>
      <c r="C29" s="6" t="s">
        <v>137</v>
      </c>
      <c r="D29" s="6"/>
      <c r="E29" s="6" t="s">
        <v>138</v>
      </c>
      <c r="F29" s="6" t="s">
        <v>96</v>
      </c>
      <c r="G29" s="8"/>
      <c r="H29" s="8"/>
      <c r="I29" s="8"/>
      <c r="J29" s="6" t="s">
        <v>59</v>
      </c>
      <c r="K29" s="8"/>
    </row>
    <row r="30" customFormat="false" ht="61.5" hidden="false" customHeight="true" outlineLevel="0" collapsed="false">
      <c r="A30" s="6" t="s">
        <v>139</v>
      </c>
      <c r="B30" s="6" t="s">
        <v>30</v>
      </c>
      <c r="C30" s="6" t="s">
        <v>140</v>
      </c>
      <c r="D30" s="6" t="s">
        <v>141</v>
      </c>
      <c r="E30" s="6" t="s">
        <v>142</v>
      </c>
      <c r="F30" s="6" t="s">
        <v>64</v>
      </c>
      <c r="G30" s="8"/>
      <c r="H30" s="8"/>
      <c r="I30" s="8"/>
      <c r="J30" s="6" t="s">
        <v>59</v>
      </c>
      <c r="K30" s="8"/>
    </row>
    <row r="31" customFormat="false" ht="61.5" hidden="false" customHeight="true" outlineLevel="0" collapsed="false">
      <c r="A31" s="6" t="s">
        <v>143</v>
      </c>
      <c r="B31" s="6" t="s">
        <v>30</v>
      </c>
      <c r="C31" s="6" t="s">
        <v>140</v>
      </c>
      <c r="D31" s="6"/>
      <c r="E31" s="6" t="s">
        <v>144</v>
      </c>
      <c r="F31" s="6"/>
      <c r="G31" s="8"/>
      <c r="H31" s="8"/>
      <c r="I31" s="8"/>
      <c r="J31" s="6" t="s">
        <v>59</v>
      </c>
      <c r="K31" s="8"/>
    </row>
    <row r="32" customFormat="false" ht="61.5" hidden="false" customHeight="true" outlineLevel="0" collapsed="false">
      <c r="A32" s="6" t="s">
        <v>145</v>
      </c>
      <c r="B32" s="6" t="s">
        <v>30</v>
      </c>
      <c r="C32" s="6" t="s">
        <v>146</v>
      </c>
      <c r="D32" s="6"/>
      <c r="E32" s="6" t="s">
        <v>147</v>
      </c>
      <c r="F32" s="6"/>
      <c r="G32" s="8"/>
      <c r="H32" s="8"/>
      <c r="I32" s="8"/>
      <c r="J32" s="6" t="s">
        <v>59</v>
      </c>
      <c r="K32" s="8"/>
    </row>
    <row r="33" customFormat="false" ht="61.5" hidden="false" customHeight="true" outlineLevel="0" collapsed="false">
      <c r="A33" s="6" t="s">
        <v>148</v>
      </c>
      <c r="B33" s="6" t="s">
        <v>30</v>
      </c>
      <c r="C33" s="6" t="s">
        <v>149</v>
      </c>
      <c r="D33" s="6"/>
      <c r="E33" s="6" t="s">
        <v>150</v>
      </c>
      <c r="F33" s="6" t="s">
        <v>64</v>
      </c>
      <c r="G33" s="8"/>
      <c r="H33" s="8"/>
      <c r="I33" s="8"/>
      <c r="J33" s="6" t="s">
        <v>59</v>
      </c>
      <c r="K33" s="8"/>
    </row>
    <row r="34" customFormat="false" ht="61.5" hidden="false" customHeight="true" outlineLevel="0" collapsed="false">
      <c r="A34" s="6" t="s">
        <v>151</v>
      </c>
      <c r="B34" s="6" t="s">
        <v>30</v>
      </c>
      <c r="C34" s="6" t="s">
        <v>149</v>
      </c>
      <c r="D34" s="6" t="s">
        <v>152</v>
      </c>
      <c r="E34" s="6" t="s">
        <v>153</v>
      </c>
      <c r="F34" s="6"/>
      <c r="G34" s="8"/>
      <c r="H34" s="8"/>
      <c r="I34" s="8"/>
      <c r="J34" s="6" t="s">
        <v>59</v>
      </c>
      <c r="K34" s="8"/>
    </row>
    <row r="35" customFormat="false" ht="61.5" hidden="false" customHeight="true" outlineLevel="0" collapsed="false">
      <c r="A35" s="6" t="s">
        <v>154</v>
      </c>
      <c r="B35" s="6" t="s">
        <v>30</v>
      </c>
      <c r="C35" s="6" t="s">
        <v>149</v>
      </c>
      <c r="D35" s="6"/>
      <c r="E35" s="6" t="s">
        <v>155</v>
      </c>
      <c r="F35" s="6" t="s">
        <v>64</v>
      </c>
      <c r="G35" s="8"/>
      <c r="H35" s="8"/>
      <c r="I35" s="8"/>
      <c r="J35" s="6" t="s">
        <v>59</v>
      </c>
      <c r="K35" s="8"/>
    </row>
    <row r="36" customFormat="false" ht="61.5" hidden="false" customHeight="true" outlineLevel="0" collapsed="false">
      <c r="A36" s="6" t="s">
        <v>156</v>
      </c>
      <c r="B36" s="6" t="s">
        <v>33</v>
      </c>
      <c r="C36" s="6" t="s">
        <v>157</v>
      </c>
      <c r="D36" s="6" t="s">
        <v>158</v>
      </c>
      <c r="E36" s="6" t="s">
        <v>159</v>
      </c>
      <c r="F36" s="6"/>
      <c r="G36" s="8"/>
      <c r="H36" s="8"/>
      <c r="I36" s="8"/>
      <c r="J36" s="6" t="s">
        <v>59</v>
      </c>
      <c r="K36" s="8"/>
    </row>
    <row r="37" customFormat="false" ht="61.5" hidden="false" customHeight="true" outlineLevel="0" collapsed="false">
      <c r="A37" s="6" t="s">
        <v>160</v>
      </c>
      <c r="B37" s="6" t="s">
        <v>33</v>
      </c>
      <c r="C37" s="6" t="s">
        <v>157</v>
      </c>
      <c r="D37" s="6"/>
      <c r="E37" s="6" t="s">
        <v>161</v>
      </c>
      <c r="F37" s="6" t="s">
        <v>64</v>
      </c>
      <c r="G37" s="8"/>
      <c r="H37" s="8"/>
      <c r="I37" s="8"/>
      <c r="J37" s="6" t="s">
        <v>59</v>
      </c>
      <c r="K37" s="8"/>
    </row>
    <row r="38" customFormat="false" ht="61.5" hidden="false" customHeight="true" outlineLevel="0" collapsed="false">
      <c r="A38" s="6" t="s">
        <v>162</v>
      </c>
      <c r="B38" s="6" t="s">
        <v>33</v>
      </c>
      <c r="C38" s="6" t="s">
        <v>157</v>
      </c>
      <c r="D38" s="6" t="s">
        <v>163</v>
      </c>
      <c r="E38" s="6" t="s">
        <v>164</v>
      </c>
      <c r="F38" s="6"/>
      <c r="G38" s="8"/>
      <c r="H38" s="8"/>
      <c r="I38" s="8"/>
      <c r="J38" s="6" t="s">
        <v>59</v>
      </c>
      <c r="K38" s="8"/>
    </row>
    <row r="39" customFormat="false" ht="61.5" hidden="false" customHeight="true" outlineLevel="0" collapsed="false">
      <c r="A39" s="6" t="s">
        <v>165</v>
      </c>
      <c r="B39" s="6" t="s">
        <v>33</v>
      </c>
      <c r="C39" s="6" t="s">
        <v>157</v>
      </c>
      <c r="D39" s="6"/>
      <c r="E39" s="6" t="s">
        <v>166</v>
      </c>
      <c r="F39" s="6"/>
      <c r="G39" s="8"/>
      <c r="H39" s="8"/>
      <c r="I39" s="8"/>
      <c r="J39" s="6" t="s">
        <v>59</v>
      </c>
      <c r="K39" s="8"/>
    </row>
    <row r="40" customFormat="false" ht="61.5" hidden="false" customHeight="true" outlineLevel="0" collapsed="false">
      <c r="A40" s="6" t="s">
        <v>167</v>
      </c>
      <c r="B40" s="6" t="s">
        <v>33</v>
      </c>
      <c r="C40" s="6" t="s">
        <v>157</v>
      </c>
      <c r="D40" s="6" t="s">
        <v>168</v>
      </c>
      <c r="E40" s="6" t="s">
        <v>169</v>
      </c>
      <c r="F40" s="6" t="s">
        <v>64</v>
      </c>
      <c r="G40" s="8"/>
      <c r="H40" s="8"/>
      <c r="I40" s="8"/>
      <c r="J40" s="6" t="s">
        <v>59</v>
      </c>
      <c r="K40" s="8"/>
    </row>
    <row r="41" customFormat="false" ht="61.5" hidden="false" customHeight="true" outlineLevel="0" collapsed="false">
      <c r="A41" s="6" t="s">
        <v>170</v>
      </c>
      <c r="B41" s="6" t="s">
        <v>33</v>
      </c>
      <c r="C41" s="6" t="s">
        <v>171</v>
      </c>
      <c r="D41" s="6"/>
      <c r="E41" s="6" t="s">
        <v>172</v>
      </c>
      <c r="F41" s="6"/>
      <c r="G41" s="8"/>
      <c r="H41" s="8"/>
      <c r="I41" s="8"/>
      <c r="J41" s="6" t="s">
        <v>59</v>
      </c>
      <c r="K41" s="8"/>
    </row>
    <row r="42" customFormat="false" ht="61.5" hidden="false" customHeight="true" outlineLevel="0" collapsed="false">
      <c r="A42" s="6" t="s">
        <v>173</v>
      </c>
      <c r="B42" s="6" t="s">
        <v>33</v>
      </c>
      <c r="C42" s="6" t="s">
        <v>174</v>
      </c>
      <c r="D42" s="6" t="s">
        <v>175</v>
      </c>
      <c r="E42" s="6" t="s">
        <v>176</v>
      </c>
      <c r="F42" s="6"/>
      <c r="G42" s="8"/>
      <c r="H42" s="8"/>
      <c r="I42" s="8"/>
      <c r="J42" s="6" t="s">
        <v>59</v>
      </c>
      <c r="K42" s="8"/>
    </row>
    <row r="43" customFormat="false" ht="61.5" hidden="false" customHeight="true" outlineLevel="0" collapsed="false">
      <c r="A43" s="6" t="s">
        <v>177</v>
      </c>
      <c r="B43" s="6" t="s">
        <v>33</v>
      </c>
      <c r="C43" s="6" t="s">
        <v>174</v>
      </c>
      <c r="D43" s="6"/>
      <c r="E43" s="6" t="s">
        <v>178</v>
      </c>
      <c r="F43" s="6"/>
      <c r="G43" s="8"/>
      <c r="H43" s="8"/>
      <c r="I43" s="8"/>
      <c r="J43" s="6" t="s">
        <v>59</v>
      </c>
      <c r="K43" s="8"/>
    </row>
    <row r="44" customFormat="false" ht="61.5" hidden="false" customHeight="true" outlineLevel="0" collapsed="false">
      <c r="A44" s="6" t="s">
        <v>179</v>
      </c>
      <c r="B44" s="6" t="s">
        <v>33</v>
      </c>
      <c r="C44" s="6" t="s">
        <v>180</v>
      </c>
      <c r="D44" s="6"/>
      <c r="E44" s="6" t="s">
        <v>181</v>
      </c>
      <c r="F44" s="6"/>
      <c r="G44" s="8"/>
      <c r="H44" s="8"/>
      <c r="I44" s="8"/>
      <c r="J44" s="6" t="s">
        <v>59</v>
      </c>
      <c r="K44" s="8"/>
    </row>
    <row r="45" customFormat="false" ht="61.5" hidden="false" customHeight="true" outlineLevel="0" collapsed="false">
      <c r="A45" s="6" t="s">
        <v>182</v>
      </c>
      <c r="B45" s="6" t="s">
        <v>33</v>
      </c>
      <c r="C45" s="6" t="s">
        <v>180</v>
      </c>
      <c r="D45" s="6" t="s">
        <v>183</v>
      </c>
      <c r="E45" s="6" t="s">
        <v>184</v>
      </c>
      <c r="F45" s="6"/>
      <c r="G45" s="8"/>
      <c r="H45" s="8"/>
      <c r="I45" s="8"/>
      <c r="J45" s="6" t="s">
        <v>59</v>
      </c>
      <c r="K45" s="8"/>
    </row>
    <row r="46" customFormat="false" ht="61.5" hidden="false" customHeight="true" outlineLevel="0" collapsed="false">
      <c r="A46" s="6" t="s">
        <v>185</v>
      </c>
      <c r="B46" s="6" t="s">
        <v>33</v>
      </c>
      <c r="C46" s="6" t="s">
        <v>186</v>
      </c>
      <c r="D46" s="6"/>
      <c r="E46" s="6" t="s">
        <v>187</v>
      </c>
      <c r="F46" s="6"/>
      <c r="G46" s="8"/>
      <c r="H46" s="8"/>
      <c r="I46" s="8"/>
      <c r="J46" s="6" t="s">
        <v>59</v>
      </c>
      <c r="K46" s="8"/>
    </row>
    <row r="47" customFormat="false" ht="61.5" hidden="false" customHeight="true" outlineLevel="0" collapsed="false">
      <c r="A47" s="6" t="s">
        <v>188</v>
      </c>
      <c r="B47" s="6" t="s">
        <v>33</v>
      </c>
      <c r="C47" s="6" t="s">
        <v>186</v>
      </c>
      <c r="D47" s="6"/>
      <c r="E47" s="6" t="s">
        <v>189</v>
      </c>
      <c r="F47" s="6"/>
      <c r="G47" s="8"/>
      <c r="H47" s="8"/>
      <c r="I47" s="8"/>
      <c r="J47" s="6" t="s">
        <v>59</v>
      </c>
      <c r="K47" s="8"/>
    </row>
    <row r="48" customFormat="false" ht="61.5" hidden="false" customHeight="true" outlineLevel="0" collapsed="false">
      <c r="A48" s="6" t="s">
        <v>190</v>
      </c>
      <c r="B48" s="6" t="s">
        <v>33</v>
      </c>
      <c r="C48" s="6" t="s">
        <v>191</v>
      </c>
      <c r="D48" s="6"/>
      <c r="E48" s="6" t="s">
        <v>192</v>
      </c>
      <c r="F48" s="6"/>
      <c r="G48" s="8"/>
      <c r="H48" s="8"/>
      <c r="I48" s="8"/>
      <c r="J48" s="6" t="s">
        <v>59</v>
      </c>
      <c r="K48" s="8"/>
    </row>
    <row r="49" customFormat="false" ht="61.5" hidden="false" customHeight="true" outlineLevel="0" collapsed="false">
      <c r="A49" s="6" t="s">
        <v>193</v>
      </c>
      <c r="B49" s="6" t="s">
        <v>33</v>
      </c>
      <c r="C49" s="6" t="s">
        <v>191</v>
      </c>
      <c r="D49" s="6"/>
      <c r="E49" s="6" t="s">
        <v>194</v>
      </c>
      <c r="F49" s="6"/>
      <c r="G49" s="8"/>
      <c r="H49" s="8"/>
      <c r="I49" s="8"/>
      <c r="J49" s="6" t="s">
        <v>59</v>
      </c>
      <c r="K49" s="8"/>
    </row>
    <row r="50" customFormat="false" ht="61.5" hidden="false" customHeight="true" outlineLevel="0" collapsed="false">
      <c r="A50" s="6" t="s">
        <v>195</v>
      </c>
      <c r="B50" s="6" t="s">
        <v>33</v>
      </c>
      <c r="C50" s="6" t="s">
        <v>196</v>
      </c>
      <c r="D50" s="6"/>
      <c r="E50" s="6" t="s">
        <v>197</v>
      </c>
      <c r="F50" s="6"/>
      <c r="G50" s="8"/>
      <c r="H50" s="8"/>
      <c r="I50" s="8"/>
      <c r="J50" s="6" t="s">
        <v>59</v>
      </c>
      <c r="K50" s="8"/>
    </row>
    <row r="51" customFormat="false" ht="61.5" hidden="false" customHeight="true" outlineLevel="0" collapsed="false">
      <c r="A51" s="6" t="s">
        <v>198</v>
      </c>
      <c r="B51" s="6" t="s">
        <v>35</v>
      </c>
      <c r="C51" s="6" t="s">
        <v>199</v>
      </c>
      <c r="D51" s="8"/>
      <c r="E51" s="8"/>
      <c r="F51" s="6"/>
      <c r="G51" s="8"/>
      <c r="H51" s="8"/>
      <c r="I51" s="8"/>
      <c r="J51" s="9" t="s">
        <v>200</v>
      </c>
      <c r="K51" s="8"/>
    </row>
    <row r="52" customFormat="false" ht="61.5" hidden="false" customHeight="true" outlineLevel="0" collapsed="false">
      <c r="A52" s="6" t="s">
        <v>201</v>
      </c>
      <c r="B52" s="6" t="s">
        <v>35</v>
      </c>
      <c r="C52" s="6" t="s">
        <v>202</v>
      </c>
      <c r="D52" s="8"/>
      <c r="E52" s="8"/>
      <c r="F52" s="6"/>
      <c r="G52" s="8"/>
      <c r="H52" s="8"/>
      <c r="I52" s="8"/>
      <c r="J52" s="9" t="s">
        <v>200</v>
      </c>
      <c r="K52" s="8"/>
    </row>
    <row r="53" customFormat="false" ht="61.5" hidden="false" customHeight="true" outlineLevel="0" collapsed="false">
      <c r="A53" s="6" t="s">
        <v>203</v>
      </c>
      <c r="B53" s="6" t="s">
        <v>35</v>
      </c>
      <c r="C53" s="6" t="s">
        <v>204</v>
      </c>
      <c r="D53" s="8"/>
      <c r="E53" s="8"/>
      <c r="F53" s="6"/>
      <c r="G53" s="8"/>
      <c r="H53" s="8"/>
      <c r="I53" s="8"/>
      <c r="J53" s="9" t="s">
        <v>200</v>
      </c>
      <c r="K53" s="8"/>
    </row>
    <row r="54" customFormat="false" ht="61.5" hidden="false" customHeight="true" outlineLevel="0" collapsed="false">
      <c r="A54" s="6" t="s">
        <v>205</v>
      </c>
      <c r="B54" s="6" t="s">
        <v>35</v>
      </c>
      <c r="C54" s="6" t="s">
        <v>206</v>
      </c>
      <c r="D54" s="8"/>
      <c r="E54" s="8"/>
      <c r="F54" s="6"/>
      <c r="G54" s="8"/>
      <c r="H54" s="8"/>
      <c r="I54" s="8"/>
      <c r="J54" s="9" t="s">
        <v>200</v>
      </c>
      <c r="K54" s="8"/>
    </row>
    <row r="55" customFormat="false" ht="61.5" hidden="false" customHeight="true" outlineLevel="0" collapsed="false">
      <c r="A55" s="6" t="s">
        <v>207</v>
      </c>
      <c r="B55" s="6" t="s">
        <v>35</v>
      </c>
      <c r="C55" s="6" t="s">
        <v>208</v>
      </c>
      <c r="D55" s="8"/>
      <c r="E55" s="8"/>
      <c r="F55" s="6"/>
      <c r="G55" s="8"/>
      <c r="H55" s="8"/>
      <c r="I55" s="8"/>
      <c r="J55" s="9" t="s">
        <v>200</v>
      </c>
      <c r="K55" s="8"/>
    </row>
    <row r="56" customFormat="false" ht="61.5" hidden="false" customHeight="true" outlineLevel="0" collapsed="false">
      <c r="A56" s="6" t="s">
        <v>209</v>
      </c>
      <c r="B56" s="6" t="s">
        <v>35</v>
      </c>
      <c r="C56" s="6" t="s">
        <v>210</v>
      </c>
      <c r="D56" s="8"/>
      <c r="E56" s="8"/>
      <c r="F56" s="6"/>
      <c r="G56" s="8"/>
      <c r="H56" s="8"/>
      <c r="I56" s="8"/>
      <c r="J56" s="9" t="s">
        <v>200</v>
      </c>
      <c r="K56" s="8"/>
    </row>
    <row r="57" customFormat="false" ht="61.5" hidden="false" customHeight="true" outlineLevel="0" collapsed="false">
      <c r="A57" s="6" t="s">
        <v>211</v>
      </c>
      <c r="B57" s="6" t="s">
        <v>35</v>
      </c>
      <c r="C57" s="6" t="s">
        <v>212</v>
      </c>
      <c r="D57" s="8"/>
      <c r="E57" s="8"/>
      <c r="F57" s="6"/>
      <c r="G57" s="8"/>
      <c r="H57" s="8"/>
      <c r="I57" s="8"/>
      <c r="J57" s="9" t="s">
        <v>200</v>
      </c>
      <c r="K57" s="8"/>
    </row>
    <row r="58" customFormat="false" ht="61.5" hidden="false" customHeight="true" outlineLevel="0" collapsed="false">
      <c r="A58" s="6" t="s">
        <v>213</v>
      </c>
      <c r="B58" s="6" t="s">
        <v>35</v>
      </c>
      <c r="C58" s="6" t="s">
        <v>214</v>
      </c>
      <c r="D58" s="8"/>
      <c r="E58" s="8"/>
      <c r="F58" s="6"/>
      <c r="G58" s="8"/>
      <c r="H58" s="8"/>
      <c r="I58" s="8"/>
      <c r="J58" s="9" t="s">
        <v>200</v>
      </c>
      <c r="K58" s="8"/>
    </row>
    <row r="59" customFormat="false" ht="61.5" hidden="false" customHeight="true" outlineLevel="0" collapsed="false">
      <c r="A59" s="6" t="s">
        <v>215</v>
      </c>
      <c r="B59" s="6" t="s">
        <v>35</v>
      </c>
      <c r="C59" s="6" t="s">
        <v>216</v>
      </c>
      <c r="D59" s="8"/>
      <c r="E59" s="8"/>
      <c r="F59" s="6"/>
      <c r="G59" s="8"/>
      <c r="H59" s="8"/>
      <c r="I59" s="8"/>
      <c r="J59" s="9" t="s">
        <v>200</v>
      </c>
      <c r="K59" s="8"/>
    </row>
    <row r="60" customFormat="false" ht="61.5" hidden="false" customHeight="true" outlineLevel="0" collapsed="false">
      <c r="A60" s="6" t="s">
        <v>217</v>
      </c>
      <c r="B60" s="6" t="s">
        <v>35</v>
      </c>
      <c r="C60" s="6" t="s">
        <v>218</v>
      </c>
      <c r="D60" s="8"/>
      <c r="E60" s="8"/>
      <c r="F60" s="6"/>
      <c r="G60" s="8"/>
      <c r="H60" s="8"/>
      <c r="I60" s="8"/>
      <c r="J60" s="9" t="s">
        <v>200</v>
      </c>
      <c r="K60" s="8"/>
    </row>
    <row r="61" customFormat="false" ht="61.5" hidden="false" customHeight="true" outlineLevel="0" collapsed="false">
      <c r="A61" s="6" t="s">
        <v>219</v>
      </c>
      <c r="B61" s="6" t="s">
        <v>35</v>
      </c>
      <c r="C61" s="6" t="s">
        <v>220</v>
      </c>
      <c r="D61" s="8"/>
      <c r="E61" s="8"/>
      <c r="F61" s="6"/>
      <c r="G61" s="8"/>
      <c r="H61" s="8"/>
      <c r="I61" s="8"/>
      <c r="J61" s="9" t="s">
        <v>200</v>
      </c>
      <c r="K61" s="8"/>
    </row>
    <row r="62" customFormat="false" ht="61.5" hidden="false" customHeight="true" outlineLevel="0" collapsed="false">
      <c r="A62" s="6" t="s">
        <v>221</v>
      </c>
      <c r="B62" s="6" t="s">
        <v>38</v>
      </c>
      <c r="C62" s="6" t="s">
        <v>218</v>
      </c>
      <c r="D62" s="8"/>
      <c r="E62" s="8"/>
      <c r="F62" s="6"/>
      <c r="G62" s="8"/>
      <c r="H62" s="8"/>
      <c r="I62" s="8"/>
      <c r="J62" s="9" t="s">
        <v>200</v>
      </c>
      <c r="K62" s="8"/>
    </row>
    <row r="63" customFormat="false" ht="61.5" hidden="false" customHeight="true" outlineLevel="0" collapsed="false">
      <c r="A63" s="6" t="s">
        <v>222</v>
      </c>
      <c r="B63" s="6" t="s">
        <v>38</v>
      </c>
      <c r="C63" s="6" t="s">
        <v>223</v>
      </c>
      <c r="D63" s="8"/>
      <c r="E63" s="8"/>
      <c r="F63" s="6"/>
      <c r="G63" s="8"/>
      <c r="H63" s="8"/>
      <c r="I63" s="8"/>
      <c r="J63" s="9" t="s">
        <v>200</v>
      </c>
      <c r="K63" s="8"/>
    </row>
    <row r="64" customFormat="false" ht="61.5" hidden="false" customHeight="true" outlineLevel="0" collapsed="false">
      <c r="A64" s="6" t="s">
        <v>224</v>
      </c>
      <c r="B64" s="6" t="s">
        <v>38</v>
      </c>
      <c r="C64" s="6" t="s">
        <v>225</v>
      </c>
      <c r="D64" s="8"/>
      <c r="E64" s="8"/>
      <c r="F64" s="6"/>
      <c r="G64" s="8"/>
      <c r="H64" s="8"/>
      <c r="I64" s="8"/>
      <c r="J64" s="9" t="s">
        <v>200</v>
      </c>
      <c r="K64" s="8"/>
    </row>
    <row r="65" customFormat="false" ht="61.5" hidden="false" customHeight="true" outlineLevel="0" collapsed="false">
      <c r="A65" s="6" t="s">
        <v>226</v>
      </c>
      <c r="B65" s="6" t="s">
        <v>38</v>
      </c>
      <c r="C65" s="6" t="s">
        <v>227</v>
      </c>
      <c r="D65" s="8"/>
      <c r="E65" s="8"/>
      <c r="F65" s="6"/>
      <c r="G65" s="8"/>
      <c r="H65" s="8"/>
      <c r="I65" s="8"/>
      <c r="J65" s="9" t="s">
        <v>200</v>
      </c>
      <c r="K65" s="8"/>
    </row>
    <row r="66" customFormat="false" ht="61.5" hidden="false" customHeight="true" outlineLevel="0" collapsed="false">
      <c r="A66" s="6" t="s">
        <v>228</v>
      </c>
      <c r="B66" s="6" t="s">
        <v>38</v>
      </c>
      <c r="C66" s="6" t="s">
        <v>229</v>
      </c>
      <c r="D66" s="8"/>
      <c r="E66" s="8"/>
      <c r="F66" s="6"/>
      <c r="G66" s="8"/>
      <c r="H66" s="8"/>
      <c r="I66" s="8"/>
      <c r="J66" s="9" t="s">
        <v>200</v>
      </c>
      <c r="K66" s="8"/>
    </row>
    <row r="67" customFormat="false" ht="61.5" hidden="false" customHeight="true" outlineLevel="0" collapsed="false">
      <c r="A67" s="6" t="s">
        <v>230</v>
      </c>
      <c r="B67" s="6" t="s">
        <v>38</v>
      </c>
      <c r="C67" s="6" t="s">
        <v>231</v>
      </c>
      <c r="D67" s="8"/>
      <c r="E67" s="8"/>
      <c r="F67" s="6"/>
      <c r="G67" s="8"/>
      <c r="H67" s="8"/>
      <c r="I67" s="8"/>
      <c r="J67" s="9" t="s">
        <v>200</v>
      </c>
      <c r="K67" s="8"/>
    </row>
    <row r="68" customFormat="false" ht="61.5" hidden="false" customHeight="true" outlineLevel="0" collapsed="false">
      <c r="A68" s="6" t="s">
        <v>232</v>
      </c>
      <c r="B68" s="6" t="s">
        <v>38</v>
      </c>
      <c r="C68" s="6" t="s">
        <v>233</v>
      </c>
      <c r="D68" s="8"/>
      <c r="E68" s="8"/>
      <c r="F68" s="6"/>
      <c r="G68" s="8"/>
      <c r="H68" s="8"/>
      <c r="I68" s="8"/>
      <c r="J68" s="9" t="s">
        <v>200</v>
      </c>
      <c r="K68" s="8"/>
    </row>
    <row r="69" customFormat="false" ht="61.5" hidden="false" customHeight="true" outlineLevel="0" collapsed="false">
      <c r="A69" s="6" t="s">
        <v>234</v>
      </c>
      <c r="B69" s="6" t="s">
        <v>38</v>
      </c>
      <c r="C69" s="6" t="s">
        <v>235</v>
      </c>
      <c r="D69" s="8"/>
      <c r="E69" s="8"/>
      <c r="F69" s="6"/>
      <c r="G69" s="8"/>
      <c r="H69" s="8"/>
      <c r="I69" s="8"/>
      <c r="J69" s="9" t="s">
        <v>200</v>
      </c>
      <c r="K69" s="8"/>
    </row>
    <row r="70" customFormat="false" ht="61.5" hidden="false" customHeight="true" outlineLevel="0" collapsed="false">
      <c r="A70" s="6" t="s">
        <v>236</v>
      </c>
      <c r="B70" s="6" t="s">
        <v>38</v>
      </c>
      <c r="C70" s="6" t="s">
        <v>237</v>
      </c>
      <c r="D70" s="8"/>
      <c r="E70" s="8"/>
      <c r="F70" s="6"/>
      <c r="G70" s="8"/>
      <c r="H70" s="8"/>
      <c r="I70" s="8"/>
      <c r="J70" s="9" t="s">
        <v>200</v>
      </c>
      <c r="K70" s="8"/>
    </row>
    <row r="71" customFormat="false" ht="61.5" hidden="false" customHeight="true" outlineLevel="0" collapsed="false">
      <c r="A71" s="6" t="s">
        <v>238</v>
      </c>
      <c r="B71" s="6" t="s">
        <v>38</v>
      </c>
      <c r="C71" s="6" t="s">
        <v>239</v>
      </c>
      <c r="D71" s="8"/>
      <c r="E71" s="8"/>
      <c r="F71" s="6"/>
      <c r="G71" s="8"/>
      <c r="H71" s="8"/>
      <c r="I71" s="8"/>
      <c r="J71" s="9" t="s">
        <v>200</v>
      </c>
      <c r="K71" s="8"/>
    </row>
    <row r="72" customFormat="false" ht="61.5" hidden="false" customHeight="true" outlineLevel="0" collapsed="false">
      <c r="A72" s="6" t="s">
        <v>240</v>
      </c>
      <c r="B72" s="6" t="s">
        <v>38</v>
      </c>
      <c r="C72" s="6" t="s">
        <v>241</v>
      </c>
      <c r="D72" s="8"/>
      <c r="E72" s="8"/>
      <c r="F72" s="6"/>
      <c r="G72" s="8"/>
      <c r="H72" s="8"/>
      <c r="I72" s="8"/>
      <c r="J72" s="9" t="s">
        <v>200</v>
      </c>
      <c r="K72" s="8"/>
    </row>
    <row r="73" customFormat="false" ht="61.5" hidden="false" customHeight="true" outlineLevel="0" collapsed="false">
      <c r="A73" s="6" t="s">
        <v>242</v>
      </c>
      <c r="B73" s="6" t="s">
        <v>38</v>
      </c>
      <c r="C73" s="6" t="s">
        <v>243</v>
      </c>
      <c r="D73" s="8"/>
      <c r="E73" s="8"/>
      <c r="F73" s="6"/>
      <c r="G73" s="8"/>
      <c r="H73" s="8"/>
      <c r="I73" s="8"/>
      <c r="J73" s="9" t="s">
        <v>200</v>
      </c>
      <c r="K73" s="8"/>
    </row>
    <row r="74" customFormat="false" ht="61.5" hidden="false" customHeight="true" outlineLevel="0" collapsed="false">
      <c r="A74" s="6" t="s">
        <v>244</v>
      </c>
      <c r="B74" s="6" t="s">
        <v>40</v>
      </c>
      <c r="C74" s="6" t="s">
        <v>245</v>
      </c>
      <c r="D74" s="8"/>
      <c r="E74" s="8"/>
      <c r="F74" s="6"/>
      <c r="G74" s="8"/>
      <c r="H74" s="8"/>
      <c r="I74" s="8"/>
      <c r="J74" s="9" t="s">
        <v>200</v>
      </c>
      <c r="K74" s="8"/>
    </row>
    <row r="75" customFormat="false" ht="61.5" hidden="false" customHeight="true" outlineLevel="0" collapsed="false">
      <c r="A75" s="6" t="s">
        <v>246</v>
      </c>
      <c r="B75" s="6" t="s">
        <v>40</v>
      </c>
      <c r="C75" s="6" t="s">
        <v>247</v>
      </c>
      <c r="D75" s="8"/>
      <c r="E75" s="8"/>
      <c r="F75" s="6"/>
      <c r="G75" s="8"/>
      <c r="H75" s="8"/>
      <c r="I75" s="8"/>
      <c r="J75" s="9" t="s">
        <v>200</v>
      </c>
      <c r="K75" s="8"/>
    </row>
    <row r="76" customFormat="false" ht="61.5" hidden="false" customHeight="true" outlineLevel="0" collapsed="false">
      <c r="A76" s="6" t="s">
        <v>248</v>
      </c>
      <c r="B76" s="6" t="s">
        <v>40</v>
      </c>
      <c r="C76" s="6" t="s">
        <v>249</v>
      </c>
      <c r="D76" s="8"/>
      <c r="E76" s="8"/>
      <c r="F76" s="6"/>
      <c r="G76" s="8"/>
      <c r="H76" s="8"/>
      <c r="I76" s="8"/>
      <c r="J76" s="9" t="s">
        <v>200</v>
      </c>
      <c r="K76" s="8"/>
    </row>
    <row r="77" customFormat="false" ht="61.5" hidden="false" customHeight="true" outlineLevel="0" collapsed="false">
      <c r="A77" s="6" t="s">
        <v>250</v>
      </c>
      <c r="B77" s="6" t="s">
        <v>40</v>
      </c>
      <c r="C77" s="6" t="s">
        <v>251</v>
      </c>
      <c r="D77" s="8"/>
      <c r="E77" s="8"/>
      <c r="F77" s="6"/>
      <c r="G77" s="8"/>
      <c r="H77" s="8"/>
      <c r="I77" s="8"/>
      <c r="J77" s="9" t="s">
        <v>200</v>
      </c>
      <c r="K77" s="8"/>
    </row>
    <row r="78" customFormat="false" ht="61.5" hidden="false" customHeight="true" outlineLevel="0" collapsed="false">
      <c r="A78" s="6" t="s">
        <v>252</v>
      </c>
      <c r="B78" s="6" t="s">
        <v>40</v>
      </c>
      <c r="C78" s="6" t="s">
        <v>253</v>
      </c>
      <c r="D78" s="8"/>
      <c r="E78" s="8"/>
      <c r="F78" s="6"/>
      <c r="G78" s="8"/>
      <c r="H78" s="8"/>
      <c r="I78" s="8"/>
      <c r="J78" s="9" t="s">
        <v>200</v>
      </c>
      <c r="K78" s="8"/>
    </row>
    <row r="79" customFormat="false" ht="61.5" hidden="false" customHeight="true" outlineLevel="0" collapsed="false">
      <c r="A79" s="6" t="s">
        <v>254</v>
      </c>
      <c r="B79" s="6" t="s">
        <v>40</v>
      </c>
      <c r="C79" s="6" t="s">
        <v>255</v>
      </c>
      <c r="D79" s="8"/>
      <c r="E79" s="8"/>
      <c r="F79" s="6"/>
      <c r="G79" s="8"/>
      <c r="H79" s="8"/>
      <c r="I79" s="8"/>
      <c r="J79" s="9" t="s">
        <v>200</v>
      </c>
      <c r="K79" s="8"/>
    </row>
    <row r="80" customFormat="false" ht="61.5" hidden="false" customHeight="true" outlineLevel="0" collapsed="false">
      <c r="A80" s="6" t="s">
        <v>256</v>
      </c>
      <c r="B80" s="6" t="s">
        <v>42</v>
      </c>
      <c r="C80" s="6" t="s">
        <v>257</v>
      </c>
      <c r="D80" s="8"/>
      <c r="E80" s="8"/>
      <c r="F80" s="6"/>
      <c r="G80" s="8"/>
      <c r="H80" s="8"/>
      <c r="I80" s="8"/>
      <c r="J80" s="9" t="s">
        <v>200</v>
      </c>
      <c r="K80" s="8"/>
    </row>
    <row r="81" customFormat="false" ht="61.5" hidden="false" customHeight="true" outlineLevel="0" collapsed="false">
      <c r="A81" s="6" t="s">
        <v>258</v>
      </c>
      <c r="B81" s="6" t="s">
        <v>42</v>
      </c>
      <c r="C81" s="6" t="s">
        <v>259</v>
      </c>
      <c r="D81" s="8"/>
      <c r="E81" s="8"/>
      <c r="F81" s="6"/>
      <c r="G81" s="8"/>
      <c r="H81" s="8"/>
      <c r="I81" s="8"/>
      <c r="J81" s="9" t="s">
        <v>200</v>
      </c>
      <c r="K81" s="8"/>
    </row>
    <row r="82" customFormat="false" ht="61.5" hidden="false" customHeight="true" outlineLevel="0" collapsed="false">
      <c r="A82" s="6" t="s">
        <v>260</v>
      </c>
      <c r="B82" s="6" t="s">
        <v>42</v>
      </c>
      <c r="C82" s="6" t="s">
        <v>261</v>
      </c>
      <c r="D82" s="8"/>
      <c r="E82" s="8"/>
      <c r="F82" s="6"/>
      <c r="G82" s="8"/>
      <c r="H82" s="8"/>
      <c r="I82" s="8"/>
      <c r="J82" s="9" t="s">
        <v>200</v>
      </c>
      <c r="K82" s="8"/>
    </row>
    <row r="83" customFormat="false" ht="61.5" hidden="false" customHeight="true" outlineLevel="0" collapsed="false">
      <c r="A83" s="6" t="s">
        <v>262</v>
      </c>
      <c r="B83" s="6" t="s">
        <v>42</v>
      </c>
      <c r="C83" s="6" t="s">
        <v>263</v>
      </c>
      <c r="D83" s="8"/>
      <c r="E83" s="8"/>
      <c r="F83" s="6"/>
      <c r="G83" s="8"/>
      <c r="H83" s="8"/>
      <c r="I83" s="8"/>
      <c r="J83" s="9" t="s">
        <v>200</v>
      </c>
      <c r="K83" s="8"/>
    </row>
    <row r="84" customFormat="false" ht="61.5" hidden="false" customHeight="true" outlineLevel="0" collapsed="false">
      <c r="A84" s="6" t="s">
        <v>264</v>
      </c>
      <c r="B84" s="6" t="s">
        <v>42</v>
      </c>
      <c r="C84" s="6" t="s">
        <v>265</v>
      </c>
      <c r="D84" s="8"/>
      <c r="E84" s="8"/>
      <c r="F84" s="6"/>
      <c r="G84" s="8"/>
      <c r="H84" s="8"/>
      <c r="I84" s="8"/>
      <c r="J84" s="9" t="s">
        <v>200</v>
      </c>
      <c r="K84" s="8"/>
    </row>
  </sheetData>
  <dataValidations count="2">
    <dataValidation allowBlank="true" errorStyle="stop" operator="between" showDropDown="false" showErrorMessage="false" showInputMessage="false" sqref="G2:G84" type="list">
      <formula1>"Br. David directo,Cita de Br. David en texto ajeno,Comentario de un tercero,A definir"</formula1>
      <formula2>0</formula2>
    </dataValidation>
    <dataValidation allowBlank="true" errorStyle="stop" operator="between" showDropDown="false" showErrorMessage="false" showInputMessage="false" sqref="J2:J84" type="list">
      <formula1>"Migrado,Revisado,PENDIENTE"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6"/>
    <col collapsed="false" customWidth="true" hidden="false" outlineLevel="0" max="4" min="4" style="0" width="80"/>
    <col collapsed="false" customWidth="true" hidden="false" outlineLevel="0" max="5" min="5" style="0" width="34"/>
    <col collapsed="false" customWidth="true" hidden="false" outlineLevel="0" max="6" min="6" style="0" width="14"/>
  </cols>
  <sheetData>
    <row r="1" customFormat="false" ht="30" hidden="false" customHeight="true" outlineLevel="0" collapsed="false">
      <c r="A1" s="5" t="s">
        <v>24</v>
      </c>
      <c r="B1" s="5" t="s">
        <v>266</v>
      </c>
      <c r="C1" s="5" t="s">
        <v>52</v>
      </c>
      <c r="D1" s="5" t="s">
        <v>267</v>
      </c>
      <c r="E1" s="5" t="s">
        <v>268</v>
      </c>
      <c r="F1" s="5" t="s">
        <v>29</v>
      </c>
    </row>
    <row r="2" customFormat="false" ht="51.75" hidden="false" customHeight="true" outlineLevel="0" collapsed="false">
      <c r="A2" s="6" t="n">
        <v>1</v>
      </c>
      <c r="B2" s="7" t="s">
        <v>269</v>
      </c>
      <c r="C2" s="6" t="s">
        <v>270</v>
      </c>
      <c r="D2" s="6" t="s">
        <v>271</v>
      </c>
      <c r="E2" s="6" t="s">
        <v>272</v>
      </c>
      <c r="F2" s="6" t="s">
        <v>273</v>
      </c>
    </row>
    <row r="3" customFormat="false" ht="51.75" hidden="false" customHeight="true" outlineLevel="0" collapsed="false">
      <c r="A3" s="6" t="n">
        <v>2</v>
      </c>
      <c r="B3" s="7" t="s">
        <v>274</v>
      </c>
      <c r="C3" s="6" t="s">
        <v>275</v>
      </c>
      <c r="D3" s="6" t="s">
        <v>276</v>
      </c>
      <c r="E3" s="6" t="s">
        <v>272</v>
      </c>
      <c r="F3" s="6" t="s">
        <v>273</v>
      </c>
    </row>
    <row r="4" customFormat="false" ht="51.75" hidden="false" customHeight="true" outlineLevel="0" collapsed="false">
      <c r="A4" s="6" t="n">
        <v>3</v>
      </c>
      <c r="B4" s="7" t="s">
        <v>186</v>
      </c>
      <c r="C4" s="6" t="s">
        <v>277</v>
      </c>
      <c r="D4" s="6" t="s">
        <v>278</v>
      </c>
      <c r="E4" s="6" t="s">
        <v>279</v>
      </c>
      <c r="F4" s="6" t="s">
        <v>273</v>
      </c>
    </row>
    <row r="5" customFormat="false" ht="51.75" hidden="false" customHeight="true" outlineLevel="0" collapsed="false">
      <c r="A5" s="6" t="n">
        <v>4</v>
      </c>
      <c r="B5" s="7" t="s">
        <v>280</v>
      </c>
      <c r="C5" s="6" t="s">
        <v>281</v>
      </c>
      <c r="D5" s="6" t="s">
        <v>282</v>
      </c>
      <c r="E5" s="6" t="s">
        <v>283</v>
      </c>
      <c r="F5" s="6" t="s">
        <v>273</v>
      </c>
    </row>
    <row r="6" customFormat="false" ht="51.75" hidden="false" customHeight="true" outlineLevel="0" collapsed="false">
      <c r="A6" s="6" t="n">
        <v>5</v>
      </c>
      <c r="B6" s="7" t="s">
        <v>281</v>
      </c>
      <c r="C6" s="6" t="s">
        <v>171</v>
      </c>
      <c r="D6" s="6" t="s">
        <v>284</v>
      </c>
      <c r="E6" s="6" t="s">
        <v>285</v>
      </c>
      <c r="F6" s="6" t="s">
        <v>273</v>
      </c>
    </row>
    <row r="7" customFormat="false" ht="51.75" hidden="false" customHeight="true" outlineLevel="0" collapsed="false">
      <c r="A7" s="6" t="n">
        <v>6</v>
      </c>
      <c r="B7" s="7" t="s">
        <v>174</v>
      </c>
      <c r="C7" s="6" t="s">
        <v>281</v>
      </c>
      <c r="D7" s="6" t="s">
        <v>286</v>
      </c>
      <c r="E7" s="6" t="s">
        <v>287</v>
      </c>
      <c r="F7" s="6" t="s">
        <v>273</v>
      </c>
    </row>
    <row r="8" customFormat="false" ht="51.75" hidden="false" customHeight="true" outlineLevel="0" collapsed="false">
      <c r="A8" s="6" t="n">
        <v>7</v>
      </c>
      <c r="B8" s="7" t="s">
        <v>180</v>
      </c>
      <c r="C8" s="6" t="s">
        <v>288</v>
      </c>
      <c r="D8" s="6" t="s">
        <v>289</v>
      </c>
      <c r="E8" s="6" t="s">
        <v>290</v>
      </c>
      <c r="F8" s="6" t="s">
        <v>273</v>
      </c>
    </row>
    <row r="9" customFormat="false" ht="51.75" hidden="false" customHeight="true" outlineLevel="0" collapsed="false">
      <c r="A9" s="6" t="n">
        <v>8</v>
      </c>
      <c r="B9" s="7" t="s">
        <v>291</v>
      </c>
      <c r="C9" s="6" t="s">
        <v>292</v>
      </c>
      <c r="D9" s="6" t="s">
        <v>293</v>
      </c>
      <c r="E9" s="6" t="s">
        <v>294</v>
      </c>
      <c r="F9" s="6" t="s">
        <v>273</v>
      </c>
    </row>
    <row r="10" customFormat="false" ht="51.75" hidden="false" customHeight="true" outlineLevel="0" collapsed="false">
      <c r="A10" s="6" t="n">
        <v>9</v>
      </c>
      <c r="B10" s="7" t="s">
        <v>291</v>
      </c>
      <c r="C10" s="6" t="s">
        <v>206</v>
      </c>
      <c r="D10" s="6" t="s">
        <v>295</v>
      </c>
      <c r="E10" s="6" t="s">
        <v>294</v>
      </c>
      <c r="F10" s="6" t="s">
        <v>273</v>
      </c>
    </row>
    <row r="11" customFormat="false" ht="51.75" hidden="false" customHeight="true" outlineLevel="0" collapsed="false">
      <c r="A11" s="6" t="n">
        <v>10</v>
      </c>
      <c r="B11" s="7" t="s">
        <v>296</v>
      </c>
      <c r="C11" s="6" t="s">
        <v>297</v>
      </c>
      <c r="D11" s="6" t="s">
        <v>298</v>
      </c>
      <c r="E11" s="6" t="s">
        <v>299</v>
      </c>
      <c r="F11" s="6" t="s">
        <v>273</v>
      </c>
    </row>
    <row r="12" customFormat="false" ht="51.75" hidden="false" customHeight="true" outlineLevel="0" collapsed="false">
      <c r="A12" s="6" t="n">
        <v>11</v>
      </c>
      <c r="B12" s="7" t="s">
        <v>300</v>
      </c>
      <c r="C12" s="6" t="s">
        <v>301</v>
      </c>
      <c r="D12" s="6" t="s">
        <v>302</v>
      </c>
      <c r="E12" s="6" t="s">
        <v>303</v>
      </c>
      <c r="F12" s="6" t="s">
        <v>273</v>
      </c>
    </row>
    <row r="13" customFormat="false" ht="51.75" hidden="false" customHeight="true" outlineLevel="0" collapsed="false">
      <c r="A13" s="6" t="n">
        <v>12</v>
      </c>
      <c r="B13" s="7" t="s">
        <v>304</v>
      </c>
      <c r="C13" s="6" t="s">
        <v>305</v>
      </c>
      <c r="D13" s="6" t="s">
        <v>306</v>
      </c>
      <c r="E13" s="6" t="s">
        <v>303</v>
      </c>
      <c r="F13" s="6" t="s">
        <v>273</v>
      </c>
    </row>
    <row r="14" customFormat="false" ht="51.75" hidden="false" customHeight="true" outlineLevel="0" collapsed="false">
      <c r="A14" s="6" t="n">
        <v>13</v>
      </c>
      <c r="B14" s="7" t="s">
        <v>307</v>
      </c>
      <c r="C14" s="6" t="s">
        <v>308</v>
      </c>
      <c r="D14" s="6" t="s">
        <v>309</v>
      </c>
      <c r="E14" s="6" t="s">
        <v>310</v>
      </c>
      <c r="F14" s="6" t="s">
        <v>273</v>
      </c>
    </row>
    <row r="15" customFormat="false" ht="51.75" hidden="false" customHeight="true" outlineLevel="0" collapsed="false">
      <c r="A15" s="6" t="n">
        <v>14</v>
      </c>
      <c r="B15" s="7" t="s">
        <v>311</v>
      </c>
      <c r="C15" s="6" t="s">
        <v>312</v>
      </c>
      <c r="D15" s="6" t="s">
        <v>313</v>
      </c>
      <c r="E15" s="6" t="s">
        <v>314</v>
      </c>
      <c r="F15" s="6" t="s">
        <v>273</v>
      </c>
    </row>
    <row r="16" customFormat="false" ht="51.75" hidden="false" customHeight="true" outlineLevel="0" collapsed="false">
      <c r="A16" s="6" t="n">
        <v>15</v>
      </c>
      <c r="B16" s="7" t="s">
        <v>107</v>
      </c>
      <c r="C16" s="6" t="s">
        <v>315</v>
      </c>
      <c r="D16" s="6" t="s">
        <v>316</v>
      </c>
      <c r="E16" s="6" t="s">
        <v>317</v>
      </c>
      <c r="F16" s="6" t="s">
        <v>273</v>
      </c>
    </row>
    <row r="17" customFormat="false" ht="39.75" hidden="false" customHeight="true" outlineLevel="0" collapsed="false">
      <c r="A17" s="6" t="n">
        <v>16</v>
      </c>
      <c r="B17" s="7" t="s">
        <v>318</v>
      </c>
      <c r="C17" s="6" t="s">
        <v>319</v>
      </c>
      <c r="D17" s="8"/>
      <c r="E17" s="6" t="s">
        <v>320</v>
      </c>
      <c r="F17" s="10" t="s">
        <v>321</v>
      </c>
    </row>
    <row r="18" customFormat="false" ht="39.75" hidden="false" customHeight="true" outlineLevel="0" collapsed="false">
      <c r="A18" s="6" t="n">
        <v>17</v>
      </c>
      <c r="B18" s="7" t="s">
        <v>322</v>
      </c>
      <c r="C18" s="6" t="s">
        <v>323</v>
      </c>
      <c r="D18" s="8"/>
      <c r="E18" s="6" t="s">
        <v>324</v>
      </c>
      <c r="F18" s="10" t="s">
        <v>321</v>
      </c>
    </row>
    <row r="19" customFormat="false" ht="39.75" hidden="false" customHeight="true" outlineLevel="0" collapsed="false">
      <c r="A19" s="6" t="n">
        <v>18</v>
      </c>
      <c r="B19" s="7" t="s">
        <v>241</v>
      </c>
      <c r="C19" s="6" t="s">
        <v>325</v>
      </c>
      <c r="D19" s="8"/>
      <c r="E19" s="6" t="s">
        <v>324</v>
      </c>
      <c r="F19" s="10" t="s">
        <v>321</v>
      </c>
    </row>
    <row r="20" customFormat="false" ht="39.75" hidden="false" customHeight="true" outlineLevel="0" collapsed="false">
      <c r="A20" s="6" t="n">
        <v>19</v>
      </c>
      <c r="B20" s="7" t="s">
        <v>326</v>
      </c>
      <c r="C20" s="6" t="s">
        <v>327</v>
      </c>
      <c r="D20" s="8"/>
      <c r="E20" s="6" t="s">
        <v>324</v>
      </c>
      <c r="F20" s="10" t="s">
        <v>321</v>
      </c>
    </row>
    <row r="21" customFormat="false" ht="39.75" hidden="false" customHeight="true" outlineLevel="0" collapsed="false">
      <c r="A21" s="6" t="n">
        <v>20</v>
      </c>
      <c r="B21" s="7" t="s">
        <v>116</v>
      </c>
      <c r="C21" s="6" t="s">
        <v>328</v>
      </c>
      <c r="D21" s="8"/>
      <c r="E21" s="6" t="s">
        <v>329</v>
      </c>
      <c r="F21" s="10" t="s">
        <v>321</v>
      </c>
    </row>
    <row r="22" customFormat="false" ht="39.75" hidden="false" customHeight="true" outlineLevel="0" collapsed="false">
      <c r="A22" s="6" t="n">
        <v>21</v>
      </c>
      <c r="B22" s="7" t="s">
        <v>280</v>
      </c>
      <c r="C22" s="6" t="s">
        <v>330</v>
      </c>
      <c r="D22" s="8"/>
      <c r="E22" s="6" t="s">
        <v>329</v>
      </c>
      <c r="F22" s="10" t="s">
        <v>321</v>
      </c>
    </row>
    <row r="23" customFormat="false" ht="39.75" hidden="false" customHeight="true" outlineLevel="0" collapsed="false">
      <c r="A23" s="6" t="n">
        <v>22</v>
      </c>
      <c r="B23" s="7" t="s">
        <v>331</v>
      </c>
      <c r="C23" s="6" t="s">
        <v>332</v>
      </c>
      <c r="D23" s="8"/>
      <c r="E23" s="6" t="s">
        <v>329</v>
      </c>
      <c r="F23" s="10" t="s">
        <v>321</v>
      </c>
    </row>
    <row r="24" customFormat="false" ht="39.75" hidden="false" customHeight="true" outlineLevel="0" collapsed="false">
      <c r="A24" s="6" t="n">
        <v>23</v>
      </c>
      <c r="B24" s="7" t="s">
        <v>333</v>
      </c>
      <c r="C24" s="6" t="s">
        <v>334</v>
      </c>
      <c r="D24" s="8"/>
      <c r="E24" s="6" t="s">
        <v>329</v>
      </c>
      <c r="F24" s="10" t="s">
        <v>321</v>
      </c>
    </row>
    <row r="26" customFormat="false" ht="91" hidden="false" customHeight="false" outlineLevel="0" collapsed="false">
      <c r="B26" s="2"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85"/>
    <col collapsed="false" customWidth="true" hidden="false" outlineLevel="0" max="4" min="4" style="0" width="34"/>
    <col collapsed="false" customWidth="true" hidden="false" outlineLevel="0" max="5" min="5" style="0" width="24"/>
  </cols>
  <sheetData>
    <row r="1" customFormat="false" ht="30" hidden="false" customHeight="true" outlineLevel="0" collapsed="false">
      <c r="A1" s="5" t="s">
        <v>24</v>
      </c>
      <c r="B1" s="5" t="s">
        <v>336</v>
      </c>
      <c r="C1" s="5" t="s">
        <v>337</v>
      </c>
      <c r="D1" s="5" t="s">
        <v>338</v>
      </c>
      <c r="E1" s="5" t="s">
        <v>339</v>
      </c>
    </row>
    <row r="2" customFormat="false" ht="45.75" hidden="false" customHeight="true" outlineLevel="0" collapsed="false">
      <c r="A2" s="6" t="n">
        <v>1</v>
      </c>
      <c r="B2" s="7" t="s">
        <v>340</v>
      </c>
      <c r="C2" s="6" t="s">
        <v>341</v>
      </c>
      <c r="D2" s="6" t="s">
        <v>342</v>
      </c>
      <c r="E2" s="11"/>
    </row>
    <row r="3" customFormat="false" ht="45.75" hidden="false" customHeight="true" outlineLevel="0" collapsed="false">
      <c r="A3" s="6" t="n">
        <v>2</v>
      </c>
      <c r="B3" s="7" t="s">
        <v>343</v>
      </c>
      <c r="C3" s="6" t="s">
        <v>344</v>
      </c>
      <c r="D3" s="6" t="s">
        <v>342</v>
      </c>
      <c r="E3" s="11"/>
    </row>
    <row r="4" customFormat="false" ht="45.75" hidden="false" customHeight="true" outlineLevel="0" collapsed="false">
      <c r="A4" s="6" t="n">
        <v>3</v>
      </c>
      <c r="B4" s="7" t="s">
        <v>345</v>
      </c>
      <c r="C4" s="6" t="s">
        <v>346</v>
      </c>
      <c r="D4" s="6" t="s">
        <v>347</v>
      </c>
      <c r="E4" s="11"/>
    </row>
    <row r="5" customFormat="false" ht="45.75" hidden="false" customHeight="true" outlineLevel="0" collapsed="false">
      <c r="A5" s="6" t="n">
        <v>4</v>
      </c>
      <c r="B5" s="7" t="s">
        <v>269</v>
      </c>
      <c r="C5" s="6" t="s">
        <v>348</v>
      </c>
      <c r="D5" s="6" t="s">
        <v>342</v>
      </c>
      <c r="E5" s="11"/>
    </row>
    <row r="6" customFormat="false" ht="45.75" hidden="false" customHeight="true" outlineLevel="0" collapsed="false">
      <c r="A6" s="6" t="n">
        <v>5</v>
      </c>
      <c r="B6" s="7" t="s">
        <v>349</v>
      </c>
      <c r="C6" s="6" t="s">
        <v>350</v>
      </c>
      <c r="D6" s="6" t="s">
        <v>351</v>
      </c>
      <c r="E6" s="11"/>
    </row>
    <row r="7" customFormat="false" ht="45.75" hidden="false" customHeight="true" outlineLevel="0" collapsed="false">
      <c r="A7" s="6" t="n">
        <v>6</v>
      </c>
      <c r="B7" s="7" t="s">
        <v>352</v>
      </c>
      <c r="C7" s="6" t="s">
        <v>353</v>
      </c>
      <c r="D7" s="6" t="s">
        <v>342</v>
      </c>
      <c r="E7" s="11"/>
    </row>
    <row r="8" customFormat="false" ht="45.75" hidden="false" customHeight="true" outlineLevel="0" collapsed="false">
      <c r="A8" s="6" t="n">
        <v>7</v>
      </c>
      <c r="B8" s="7" t="s">
        <v>354</v>
      </c>
      <c r="C8" s="6" t="s">
        <v>355</v>
      </c>
      <c r="D8" s="6" t="s">
        <v>356</v>
      </c>
      <c r="E8" s="11"/>
    </row>
    <row r="9" customFormat="false" ht="45.75" hidden="false" customHeight="true" outlineLevel="0" collapsed="false">
      <c r="A9" s="6" t="n">
        <v>8</v>
      </c>
      <c r="B9" s="7" t="s">
        <v>357</v>
      </c>
      <c r="C9" s="6" t="s">
        <v>358</v>
      </c>
      <c r="D9" s="6" t="s">
        <v>359</v>
      </c>
      <c r="E9" s="11"/>
    </row>
    <row r="10" customFormat="false" ht="45.75" hidden="false" customHeight="true" outlineLevel="0" collapsed="false">
      <c r="A10" s="6" t="n">
        <v>9</v>
      </c>
      <c r="B10" s="7" t="s">
        <v>360</v>
      </c>
      <c r="C10" s="6" t="s">
        <v>361</v>
      </c>
      <c r="D10" s="6" t="s">
        <v>362</v>
      </c>
      <c r="E10" s="11"/>
    </row>
    <row r="11" customFormat="false" ht="45.75" hidden="false" customHeight="true" outlineLevel="0" collapsed="false">
      <c r="A11" s="6" t="n">
        <v>10</v>
      </c>
      <c r="B11" s="7" t="s">
        <v>363</v>
      </c>
      <c r="C11" s="6" t="s">
        <v>364</v>
      </c>
      <c r="D11" s="6" t="s">
        <v>362</v>
      </c>
      <c r="E11" s="11"/>
    </row>
    <row r="12" customFormat="false" ht="45.75" hidden="false" customHeight="true" outlineLevel="0" collapsed="false">
      <c r="A12" s="6" t="n">
        <v>11</v>
      </c>
      <c r="B12" s="7" t="s">
        <v>365</v>
      </c>
      <c r="C12" s="6" t="s">
        <v>366</v>
      </c>
      <c r="D12" s="6" t="s">
        <v>367</v>
      </c>
      <c r="E12" s="11"/>
    </row>
    <row r="13" customFormat="false" ht="45.75" hidden="false" customHeight="true" outlineLevel="0" collapsed="false">
      <c r="A13" s="6" t="n">
        <v>12</v>
      </c>
      <c r="B13" s="7" t="s">
        <v>368</v>
      </c>
      <c r="C13" s="6" t="s">
        <v>369</v>
      </c>
      <c r="D13" s="6" t="s">
        <v>367</v>
      </c>
      <c r="E13" s="11"/>
    </row>
    <row r="15" customFormat="false" ht="91" hidden="false" customHeight="false" outlineLevel="0" collapsed="false">
      <c r="B15" s="12"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95"/>
    <col collapsed="false" customWidth="true" hidden="false" outlineLevel="0" max="4" min="4" style="0" width="34"/>
  </cols>
  <sheetData>
    <row r="1" customFormat="false" ht="30" hidden="false" customHeight="true" outlineLevel="0" collapsed="false">
      <c r="A1" s="5" t="s">
        <v>24</v>
      </c>
      <c r="B1" s="5" t="s">
        <v>371</v>
      </c>
      <c r="C1" s="5" t="s">
        <v>372</v>
      </c>
      <c r="D1" s="5" t="s">
        <v>373</v>
      </c>
    </row>
    <row r="2" customFormat="false" ht="72" hidden="false" customHeight="true" outlineLevel="0" collapsed="false">
      <c r="A2" s="6" t="n">
        <v>1</v>
      </c>
      <c r="B2" s="7" t="s">
        <v>374</v>
      </c>
      <c r="C2" s="6" t="s">
        <v>375</v>
      </c>
      <c r="D2" s="11"/>
    </row>
    <row r="3" customFormat="false" ht="72" hidden="false" customHeight="true" outlineLevel="0" collapsed="false">
      <c r="A3" s="6" t="n">
        <v>2</v>
      </c>
      <c r="B3" s="7" t="s">
        <v>376</v>
      </c>
      <c r="C3" s="6" t="s">
        <v>377</v>
      </c>
      <c r="D3" s="11"/>
    </row>
    <row r="4" customFormat="false" ht="72" hidden="false" customHeight="true" outlineLevel="0" collapsed="false">
      <c r="A4" s="6" t="n">
        <v>3</v>
      </c>
      <c r="B4" s="7" t="s">
        <v>378</v>
      </c>
      <c r="C4" s="6" t="s">
        <v>379</v>
      </c>
      <c r="D4" s="11"/>
    </row>
    <row r="5" customFormat="false" ht="72" hidden="false" customHeight="true" outlineLevel="0" collapsed="false">
      <c r="A5" s="6" t="n">
        <v>4</v>
      </c>
      <c r="B5" s="7" t="s">
        <v>380</v>
      </c>
      <c r="C5" s="6" t="s">
        <v>381</v>
      </c>
      <c r="D5"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2026-09-08T05:15:22Z</dcterms:created>
  <dc:creator>openpyxl</dc:creator>
  <dc:description/>
  <dc:language>en-US</dc:language>
  <cp:lastModifiedBy/>
  <dcterms:modified xsi:type="dcterms:W3CDTF">2026-09-08T05:15:22Z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